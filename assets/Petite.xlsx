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pradignac/Desktop/"/>
    </mc:Choice>
  </mc:AlternateContent>
  <xr:revisionPtr revIDLastSave="0" documentId="8_{8EAD5FDA-832E-BD42-B63D-1E60A45ECE3F}" xr6:coauthVersionLast="47" xr6:coauthVersionMax="47" xr10:uidLastSave="{00000000-0000-0000-0000-000000000000}"/>
  <bookViews>
    <workbookView xWindow="20" yWindow="500" windowWidth="34920" windowHeight="19840" xr2:uid="{0E25F3FA-30B7-4548-A2E6-27E425FF4E52}"/>
  </bookViews>
  <sheets>
    <sheet name="Fiche de production" sheetId="1" r:id="rId1"/>
    <sheet name="Recettes" sheetId="4" r:id="rId2"/>
    <sheet name="Data" sheetId="2" r:id="rId3"/>
    <sheet name="CUVE 1 et 2 Mesur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3" l="1"/>
  <c r="B77" i="1"/>
  <c r="C58" i="1"/>
  <c r="C70" i="1" s="1"/>
  <c r="B58" i="1"/>
  <c r="B70" i="1" s="1"/>
  <c r="I35" i="1"/>
  <c r="J35" i="1" s="1"/>
  <c r="H63" i="1"/>
  <c r="G63" i="1"/>
  <c r="F63" i="1"/>
  <c r="E63" i="1"/>
  <c r="D63" i="1"/>
  <c r="C63" i="1"/>
  <c r="B63" i="1"/>
  <c r="B65" i="1" s="1"/>
  <c r="I33" i="1"/>
  <c r="J33" i="1" s="1"/>
  <c r="I32" i="1"/>
  <c r="J32" i="1" s="1"/>
  <c r="I31" i="1"/>
  <c r="J31" i="1" s="1"/>
  <c r="J54" i="1"/>
  <c r="C37" i="3"/>
  <c r="D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B14" i="3"/>
  <c r="B15" i="3" s="1"/>
  <c r="B16" i="3" s="1"/>
  <c r="D13" i="3"/>
  <c r="D31" i="3" s="1"/>
  <c r="C13" i="3"/>
  <c r="C31" i="3" s="1"/>
  <c r="D12" i="3"/>
  <c r="D32" i="3" s="1"/>
  <c r="C12" i="3"/>
  <c r="C32" i="3" s="1"/>
  <c r="D11" i="3"/>
  <c r="D33" i="3" s="1"/>
  <c r="C11" i="3"/>
  <c r="C33" i="3" s="1"/>
  <c r="D10" i="3"/>
  <c r="D34" i="3" s="1"/>
  <c r="C10" i="3"/>
  <c r="C34" i="3" s="1"/>
  <c r="D9" i="3"/>
  <c r="D35" i="3" s="1"/>
  <c r="C9" i="3"/>
  <c r="C35" i="3" s="1"/>
  <c r="D8" i="3"/>
  <c r="D36" i="3" s="1"/>
  <c r="C8" i="3"/>
  <c r="C36" i="3" s="1"/>
  <c r="D7" i="3"/>
  <c r="D37" i="3" s="1"/>
  <c r="D6" i="3"/>
  <c r="D38" i="3" s="1"/>
  <c r="C6" i="3"/>
  <c r="C38" i="3" s="1"/>
  <c r="D5" i="3"/>
  <c r="C5" i="3"/>
  <c r="C39" i="3" s="1"/>
  <c r="D4" i="3"/>
  <c r="C4" i="3"/>
  <c r="C40" i="3" s="1"/>
  <c r="D3" i="3"/>
  <c r="C3" i="3"/>
  <c r="A47" i="1"/>
  <c r="F5" i="2"/>
  <c r="A41" i="1"/>
  <c r="E15" i="1"/>
  <c r="H15" i="1"/>
  <c r="G15" i="1"/>
  <c r="F15" i="1"/>
  <c r="D15" i="1"/>
  <c r="C15" i="1"/>
  <c r="B15" i="1"/>
  <c r="G17" i="3" l="1" a="1"/>
  <c r="G17" i="3" s="1"/>
  <c r="G18" i="3" a="1"/>
  <c r="G18" i="3" s="1"/>
  <c r="D16" i="3"/>
  <c r="B17" i="3"/>
  <c r="B17" i="1"/>
  <c r="C35" i="1" s="1"/>
  <c r="G1" i="3" l="1"/>
  <c r="B43" i="1"/>
  <c r="G8" i="3" s="1"/>
  <c r="B1" i="4"/>
  <c r="B48" i="1"/>
  <c r="B42" i="1"/>
  <c r="G3" i="3" a="1"/>
  <c r="G3" i="3" s="1"/>
  <c r="G2" i="3" a="1"/>
  <c r="G2" i="3" s="1"/>
  <c r="D17" i="3"/>
  <c r="B18" i="3"/>
  <c r="G10" i="3" l="1" a="1"/>
  <c r="G10" i="3" s="1"/>
  <c r="G9" i="3" a="1"/>
  <c r="G9" i="3" s="1"/>
  <c r="D5" i="4"/>
  <c r="C31" i="1" s="1"/>
  <c r="E5" i="4"/>
  <c r="C32" i="1" s="1"/>
  <c r="F5" i="4"/>
  <c r="F4" i="4"/>
  <c r="C4" i="4"/>
  <c r="E4" i="4"/>
  <c r="D4" i="4"/>
  <c r="C5" i="4"/>
  <c r="C33" i="1"/>
  <c r="C30" i="1"/>
  <c r="D18" i="3"/>
  <c r="B19" i="3"/>
  <c r="D19" i="3" l="1"/>
  <c r="B20" i="3"/>
  <c r="B21" i="3" l="1"/>
  <c r="D20" i="3"/>
  <c r="D21" i="3" l="1"/>
  <c r="B22" i="3"/>
  <c r="D22" i="3" l="1"/>
  <c r="B23" i="3"/>
  <c r="G11" i="3" l="1"/>
  <c r="D23" i="3"/>
  <c r="B24" i="3"/>
  <c r="G12" i="3" l="1"/>
  <c r="G13" i="3" s="1"/>
  <c r="B44" i="1" s="1"/>
  <c r="D24" i="3"/>
  <c r="B25" i="3"/>
  <c r="D25" i="3" l="1"/>
  <c r="B26" i="3"/>
  <c r="D26" i="3" l="1"/>
  <c r="B27" i="3"/>
  <c r="D27" i="3" l="1"/>
  <c r="B28" i="3"/>
  <c r="D28" i="3" l="1"/>
  <c r="B29" i="3"/>
  <c r="D29" i="3" l="1"/>
  <c r="B30" i="3"/>
  <c r="B31" i="3" s="1"/>
  <c r="B32" i="3" s="1"/>
  <c r="B33" i="3" s="1"/>
  <c r="B34" i="3" s="1"/>
  <c r="B35" i="3" s="1"/>
  <c r="B36" i="3" s="1"/>
  <c r="B37" i="3" s="1"/>
  <c r="B38" i="3" s="1"/>
  <c r="G19" i="3" l="1"/>
  <c r="B39" i="3"/>
  <c r="G20" i="3" l="1"/>
  <c r="G21" i="3" s="1"/>
  <c r="B49" i="1" s="1"/>
  <c r="B40" i="3"/>
  <c r="B41" i="3" s="1"/>
  <c r="B42" i="3" s="1"/>
  <c r="G4" i="3" l="1"/>
  <c r="B43" i="3"/>
  <c r="G5" i="3" s="1"/>
  <c r="G6" i="3" l="1"/>
  <c r="C36" i="1" s="1"/>
</calcChain>
</file>

<file path=xl/sharedStrings.xml><?xml version="1.0" encoding="utf-8"?>
<sst xmlns="http://schemas.openxmlformats.org/spreadsheetml/2006/main" count="193" uniqueCount="111">
  <si>
    <t>Quantité</t>
  </si>
  <si>
    <t>33 CL</t>
  </si>
  <si>
    <t>75 CL</t>
  </si>
  <si>
    <t>NIKO</t>
  </si>
  <si>
    <t>X6</t>
  </si>
  <si>
    <t>X4</t>
  </si>
  <si>
    <t>Bouteilles</t>
  </si>
  <si>
    <t>Cartons</t>
  </si>
  <si>
    <t>Volume (L)</t>
  </si>
  <si>
    <t>SYMBIOSE</t>
  </si>
  <si>
    <t>AUTRE</t>
  </si>
  <si>
    <t>X12</t>
  </si>
  <si>
    <t>Fiche de production Cuve de 5000 L</t>
  </si>
  <si>
    <t>Code : PROD_EN_002</t>
  </si>
  <si>
    <t>Version : 07</t>
  </si>
  <si>
    <t>Création : 20/07/2021</t>
  </si>
  <si>
    <t>Mis à jour : 14/10/2025</t>
  </si>
  <si>
    <t>Produit préparé</t>
  </si>
  <si>
    <t>Produit  :</t>
  </si>
  <si>
    <t>DDM :</t>
  </si>
  <si>
    <t>LOT</t>
  </si>
  <si>
    <t>INTER</t>
  </si>
  <si>
    <t>Fermentation</t>
  </si>
  <si>
    <t>Date</t>
  </si>
  <si>
    <t>Heure</t>
  </si>
  <si>
    <t>Brix</t>
  </si>
  <si>
    <t>PH</t>
  </si>
  <si>
    <t>°C</t>
  </si>
  <si>
    <t>Goût</t>
  </si>
  <si>
    <t>Observation</t>
  </si>
  <si>
    <t>Matricule</t>
  </si>
  <si>
    <t>OK/NOK</t>
  </si>
  <si>
    <t xml:space="preserve">Fermentation : </t>
  </si>
  <si>
    <t>Conforme</t>
  </si>
  <si>
    <t>Non conforme</t>
  </si>
  <si>
    <t>Sucre (kg)</t>
  </si>
  <si>
    <t>Figues (kg)</t>
  </si>
  <si>
    <t>Jus de Citron (kg)</t>
  </si>
  <si>
    <t>Grains (kg)</t>
  </si>
  <si>
    <t>Phase 1 : DILUTION</t>
  </si>
  <si>
    <t>Volume de remplissage :</t>
  </si>
  <si>
    <t>Niveau de liquide :</t>
  </si>
  <si>
    <t>Pression sur le bulleur :</t>
  </si>
  <si>
    <t>3 bars</t>
  </si>
  <si>
    <t>Température de cuve :</t>
  </si>
  <si>
    <t>24°C</t>
  </si>
  <si>
    <t>Phase 2 : Filtration</t>
  </si>
  <si>
    <t>Volume filtré :</t>
  </si>
  <si>
    <t>Volume final :</t>
  </si>
  <si>
    <t>Hauteur :</t>
  </si>
  <si>
    <t>Produit 1</t>
  </si>
  <si>
    <t>DDM</t>
  </si>
  <si>
    <t>Ajouts de Jus / L</t>
  </si>
  <si>
    <t>pour 1L</t>
  </si>
  <si>
    <t>K. Original</t>
  </si>
  <si>
    <t>K. Menthe - Citron Vert</t>
  </si>
  <si>
    <t>K. Gingembre</t>
  </si>
  <si>
    <t>K. Pamplemousse</t>
  </si>
  <si>
    <t>K. Mangue - Passion</t>
  </si>
  <si>
    <t>Infusion Menthe Poivrée</t>
  </si>
  <si>
    <t>Infusion Mélisse</t>
  </si>
  <si>
    <t>Infusion Zest d'agrumes</t>
  </si>
  <si>
    <t>K. Pêche</t>
  </si>
  <si>
    <t xml:space="preserve">Autre : </t>
  </si>
  <si>
    <t>Phase 2 : Remplissage</t>
  </si>
  <si>
    <t>IMPORTANT : la hauteur totale prend en compte l'ajout des jus de l'aromatisation</t>
  </si>
  <si>
    <t>Volume (en L)</t>
  </si>
  <si>
    <t>Regle (en cm)</t>
  </si>
  <si>
    <t>Palier de Volume</t>
  </si>
  <si>
    <t>Palier de cm</t>
  </si>
  <si>
    <t>Valeur recherchée Produit  Post Filtration</t>
  </si>
  <si>
    <t>Limite Basse</t>
  </si>
  <si>
    <t>Limite Haute</t>
  </si>
  <si>
    <t>Hauteur limite Basse</t>
  </si>
  <si>
    <t>Hauteur limite Haute</t>
  </si>
  <si>
    <t>HAUTEUR CIBLE</t>
  </si>
  <si>
    <t>Valeur recherchée Produit  Cuve pleine</t>
  </si>
  <si>
    <t>Volume de remplissage</t>
  </si>
  <si>
    <t>Volume total :</t>
  </si>
  <si>
    <t xml:space="preserve">Recette Kefir </t>
  </si>
  <si>
    <t>Facteur 1L</t>
  </si>
  <si>
    <t>sucre blanc</t>
  </si>
  <si>
    <t>figues</t>
  </si>
  <si>
    <t>jus citron</t>
  </si>
  <si>
    <t>grain</t>
  </si>
  <si>
    <t>Infusion</t>
  </si>
  <si>
    <t>Kéfir</t>
  </si>
  <si>
    <t>Quantité (L)</t>
  </si>
  <si>
    <t xml:space="preserve">Recette Eau </t>
  </si>
  <si>
    <t xml:space="preserve">Sucre (kg)	</t>
  </si>
  <si>
    <t xml:space="preserve">Figues (kg)	</t>
  </si>
  <si>
    <t>Type</t>
  </si>
  <si>
    <t>infusion</t>
  </si>
  <si>
    <t>Date de la production :</t>
  </si>
  <si>
    <t>Prévision de conditionnement</t>
  </si>
  <si>
    <t>Emballage</t>
  </si>
  <si>
    <t>Bavarian 33cl</t>
  </si>
  <si>
    <t>Saft 75cl</t>
  </si>
  <si>
    <t>Eau gazeuse 75cl</t>
  </si>
  <si>
    <t>Désignation</t>
  </si>
  <si>
    <t>Unité</t>
  </si>
  <si>
    <t>Palette</t>
  </si>
  <si>
    <t>Palette Europe</t>
  </si>
  <si>
    <t>Conditionnement réel</t>
  </si>
  <si>
    <t>Palettes</t>
  </si>
  <si>
    <t>Antoine</t>
  </si>
  <si>
    <t>Échantillons</t>
  </si>
  <si>
    <t>Traçabilité</t>
  </si>
  <si>
    <t>Répartition des cartons :</t>
  </si>
  <si>
    <t>Remarques</t>
  </si>
  <si>
    <t>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</si>
</sst>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&quot; L&quot;"/>
    <numFmt numFmtId="166" formatCode="#,##0&quot; cm&quot;"/>
    <numFmt numFmtId="167" formatCode="0.00000"/>
  </numFmts>
  <fonts count="26" x14ac:knownFonts="1">
    <font>
      <sz val="12"/>
      <color theme="1"/>
      <name val="Aptos Narrow"/>
      <family val="2"/>
      <scheme val="minor"/>
    </font>
    <font>
      <i/>
      <sz val="9"/>
      <color theme="1"/>
      <name val="Aptos Narrow"/>
      <family val="2"/>
    </font>
    <font>
      <b/>
      <sz val="9"/>
      <color theme="1"/>
      <name val="Aptos Narrow"/>
    </font>
    <font>
      <b/>
      <sz val="9"/>
      <color theme="1"/>
      <name val="Aptos Narrow"/>
      <family val="2"/>
    </font>
    <font>
      <b/>
      <sz val="11"/>
      <color theme="1"/>
      <name val="Aptos Narrow"/>
      <family val="2"/>
    </font>
    <font>
      <sz val="8"/>
      <color theme="1"/>
      <name val="Aptos Narrow"/>
      <family val="2"/>
    </font>
    <font>
      <b/>
      <sz val="14"/>
      <color theme="1"/>
      <name val="Aptos Narrow"/>
      <family val="2"/>
    </font>
    <font>
      <sz val="11"/>
      <color theme="1"/>
      <name val="Aptos Narrow"/>
      <family val="2"/>
    </font>
    <font>
      <b/>
      <sz val="11"/>
      <name val="Aptos Narrow"/>
    </font>
    <font>
      <b/>
      <sz val="11"/>
      <name val="Aptos Narrow"/>
      <family val="2"/>
    </font>
    <font>
      <b/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8"/>
      <color theme="1"/>
      <name val="Aptos Narrow"/>
      <family val="2"/>
    </font>
    <font>
      <b/>
      <sz val="9"/>
      <color theme="0"/>
      <name val="Aptos Narrow"/>
      <family val="2"/>
    </font>
    <font>
      <b/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sz val="10"/>
      <color rgb="FFFF0000"/>
      <name val="Aptos Narrow"/>
      <family val="2"/>
    </font>
    <font>
      <sz val="10"/>
      <color rgb="FFFF0000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D0D0D0"/>
      </patternFill>
    </fill>
    <fill>
      <patternFill patternType="solid">
        <fgColor theme="0"/>
        <bgColor indexed="64"/>
      </patternFill>
    </fill>
    <fill>
      <patternFill patternType="solid">
        <fgColor rgb="FFFFFDE8"/>
        <bgColor indexed="64"/>
      </patternFill>
    </fill>
    <fill>
      <patternFill patternType="solid">
        <fgColor rgb="FFFFFEE9"/>
        <bgColor rgb="FFD0D0D0"/>
      </patternFill>
    </fill>
    <fill>
      <patternFill patternType="solid">
        <fgColor rgb="FFD0D0D0"/>
        <bgColor rgb="FFD0D0D0"/>
      </patternFill>
    </fill>
    <fill>
      <patternFill patternType="solid">
        <fgColor rgb="FFFFFDE8"/>
        <bgColor rgb="FF83CAEB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E6F6"/>
        <bgColor indexed="64"/>
      </patternFill>
    </fill>
    <fill>
      <patternFill patternType="solid">
        <fgColor rgb="FFC1E4F5"/>
        <bgColor rgb="FFC1E4F5"/>
      </patternFill>
    </fill>
    <fill>
      <patternFill patternType="solid">
        <fgColor theme="7" tint="0.79998168889431442"/>
        <bgColor indexed="64"/>
      </patternFill>
    </fill>
  </fills>
  <borders count="4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rgb="FFFF0000"/>
      </right>
      <top/>
      <bottom style="thin">
        <color theme="1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rgb="FF45B0E1"/>
      </left>
      <right style="thin">
        <color rgb="FF45B0E1"/>
      </right>
      <top style="thin">
        <color rgb="FF45B0E1"/>
      </top>
      <bottom style="thin">
        <color rgb="FF45B0E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3" fillId="0" borderId="0"/>
  </cellStyleXfs>
  <cellXfs count="160">
    <xf numFmtId="0" fontId="0" fillId="0" borderId="0" xfId="0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0" fillId="3" borderId="0" xfId="0" applyFill="1"/>
    <xf numFmtId="0" fontId="7" fillId="7" borderId="7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vertical="center"/>
    </xf>
    <xf numFmtId="0" fontId="1" fillId="2" borderId="15" xfId="0" applyFont="1" applyFill="1" applyBorder="1"/>
    <xf numFmtId="0" fontId="1" fillId="2" borderId="0" xfId="0" applyFont="1" applyFill="1"/>
    <xf numFmtId="0" fontId="3" fillId="0" borderId="1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7" fillId="0" borderId="29" xfId="0" applyFont="1" applyBorder="1"/>
    <xf numFmtId="0" fontId="4" fillId="0" borderId="15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7" fillId="0" borderId="23" xfId="0" applyFont="1" applyBorder="1"/>
    <xf numFmtId="0" fontId="4" fillId="0" borderId="22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14" fontId="11" fillId="4" borderId="24" xfId="0" applyNumberFormat="1" applyFont="1" applyFill="1" applyBorder="1" applyAlignment="1">
      <alignment vertical="center"/>
    </xf>
    <xf numFmtId="0" fontId="3" fillId="0" borderId="22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13" fillId="9" borderId="20" xfId="0" applyFont="1" applyFill="1" applyBorder="1" applyAlignment="1">
      <alignment horizontal="center" vertical="center" wrapText="1"/>
    </xf>
    <xf numFmtId="0" fontId="13" fillId="9" borderId="21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0" fontId="3" fillId="0" borderId="3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0" fillId="0" borderId="7" xfId="0" applyBorder="1"/>
    <xf numFmtId="0" fontId="14" fillId="3" borderId="0" xfId="0" applyFont="1" applyFill="1" applyAlignment="1">
      <alignment horizontal="left" vertical="center"/>
    </xf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3" borderId="0" xfId="0" applyFont="1" applyFill="1"/>
    <xf numFmtId="0" fontId="17" fillId="3" borderId="0" xfId="0" applyFont="1" applyFill="1"/>
    <xf numFmtId="0" fontId="7" fillId="3" borderId="0" xfId="0" applyFont="1" applyFill="1"/>
    <xf numFmtId="0" fontId="18" fillId="3" borderId="14" xfId="0" applyFont="1" applyFill="1" applyBorder="1" applyAlignment="1">
      <alignment horizontal="left" vertical="center"/>
    </xf>
    <xf numFmtId="0" fontId="18" fillId="3" borderId="16" xfId="0" applyFont="1" applyFill="1" applyBorder="1" applyAlignment="1">
      <alignment vertical="center"/>
    </xf>
    <xf numFmtId="1" fontId="18" fillId="3" borderId="11" xfId="0" applyNumberFormat="1" applyFont="1" applyFill="1" applyBorder="1" applyAlignment="1">
      <alignment horizontal="center"/>
    </xf>
    <xf numFmtId="1" fontId="18" fillId="3" borderId="15" xfId="0" applyNumberFormat="1" applyFont="1" applyFill="1" applyBorder="1" applyAlignment="1">
      <alignment horizontal="center"/>
    </xf>
    <xf numFmtId="0" fontId="18" fillId="3" borderId="0" xfId="0" applyFont="1" applyFill="1" applyAlignment="1">
      <alignment horizontal="left" vertical="center"/>
    </xf>
    <xf numFmtId="0" fontId="18" fillId="3" borderId="16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left" vertical="center"/>
    </xf>
    <xf numFmtId="0" fontId="19" fillId="3" borderId="0" xfId="0" applyFont="1" applyFill="1"/>
    <xf numFmtId="0" fontId="20" fillId="3" borderId="0" xfId="0" applyFont="1" applyFill="1"/>
    <xf numFmtId="165" fontId="18" fillId="3" borderId="11" xfId="0" applyNumberFormat="1" applyFont="1" applyFill="1" applyBorder="1" applyAlignment="1">
      <alignment horizontal="center" vertical="center"/>
    </xf>
    <xf numFmtId="166" fontId="18" fillId="3" borderId="15" xfId="0" applyNumberFormat="1" applyFont="1" applyFill="1" applyBorder="1" applyAlignment="1">
      <alignment horizontal="center" vertical="center"/>
    </xf>
    <xf numFmtId="166" fontId="18" fillId="3" borderId="1" xfId="0" applyNumberFormat="1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vertical="center"/>
    </xf>
    <xf numFmtId="1" fontId="18" fillId="3" borderId="1" xfId="0" applyNumberFormat="1" applyFont="1" applyFill="1" applyBorder="1" applyAlignment="1">
      <alignment horizontal="center"/>
    </xf>
    <xf numFmtId="0" fontId="18" fillId="10" borderId="17" xfId="0" applyFont="1" applyFill="1" applyBorder="1" applyAlignment="1">
      <alignment vertical="center"/>
    </xf>
    <xf numFmtId="0" fontId="15" fillId="0" borderId="0" xfId="0" applyFont="1"/>
    <xf numFmtId="0" fontId="7" fillId="11" borderId="33" xfId="0" applyFont="1" applyFill="1" applyBorder="1"/>
    <xf numFmtId="0" fontId="7" fillId="0" borderId="33" xfId="0" applyFont="1" applyBorder="1"/>
    <xf numFmtId="0" fontId="22" fillId="3" borderId="0" xfId="0" applyFont="1" applyFill="1"/>
    <xf numFmtId="0" fontId="19" fillId="0" borderId="0" xfId="1" applyFont="1"/>
    <xf numFmtId="0" fontId="23" fillId="0" borderId="0" xfId="1"/>
    <xf numFmtId="1" fontId="23" fillId="0" borderId="0" xfId="1" applyNumberFormat="1"/>
    <xf numFmtId="164" fontId="23" fillId="0" borderId="0" xfId="1" applyNumberFormat="1"/>
    <xf numFmtId="167" fontId="23" fillId="0" borderId="0" xfId="1" applyNumberFormat="1"/>
    <xf numFmtId="0" fontId="15" fillId="3" borderId="0" xfId="1" applyFont="1" applyFill="1"/>
    <xf numFmtId="0" fontId="24" fillId="3" borderId="0" xfId="0" applyFont="1" applyFill="1" applyAlignment="1">
      <alignment horizontal="center"/>
    </xf>
    <xf numFmtId="1" fontId="0" fillId="3" borderId="0" xfId="0" applyNumberFormat="1" applyFill="1"/>
    <xf numFmtId="0" fontId="0" fillId="8" borderId="0" xfId="0" applyFill="1"/>
    <xf numFmtId="1" fontId="0" fillId="8" borderId="0" xfId="0" applyNumberFormat="1" applyFill="1"/>
    <xf numFmtId="0" fontId="15" fillId="3" borderId="34" xfId="1" applyFont="1" applyFill="1" applyBorder="1"/>
    <xf numFmtId="0" fontId="15" fillId="3" borderId="35" xfId="1" applyFont="1" applyFill="1" applyBorder="1"/>
    <xf numFmtId="0" fontId="15" fillId="3" borderId="36" xfId="1" applyFont="1" applyFill="1" applyBorder="1"/>
    <xf numFmtId="0" fontId="15" fillId="3" borderId="37" xfId="1" applyFont="1" applyFill="1" applyBorder="1"/>
    <xf numFmtId="0" fontId="15" fillId="3" borderId="38" xfId="1" applyFont="1" applyFill="1" applyBorder="1"/>
    <xf numFmtId="0" fontId="15" fillId="3" borderId="39" xfId="1" applyFont="1" applyFill="1" applyBorder="1"/>
    <xf numFmtId="0" fontId="7" fillId="0" borderId="0" xfId="0" applyFont="1"/>
    <xf numFmtId="14" fontId="16" fillId="3" borderId="0" xfId="0" applyNumberFormat="1" applyFont="1" applyFill="1"/>
    <xf numFmtId="1" fontId="18" fillId="3" borderId="18" xfId="0" applyNumberFormat="1" applyFont="1" applyFill="1" applyBorder="1" applyAlignment="1">
      <alignment horizontal="center"/>
    </xf>
    <xf numFmtId="1" fontId="18" fillId="3" borderId="8" xfId="0" applyNumberFormat="1" applyFont="1" applyFill="1" applyBorder="1" applyAlignment="1">
      <alignment horizontal="center"/>
    </xf>
    <xf numFmtId="0" fontId="18" fillId="3" borderId="9" xfId="0" applyFont="1" applyFill="1" applyBorder="1" applyAlignment="1">
      <alignment horizontal="left" vertical="center"/>
    </xf>
    <xf numFmtId="1" fontId="18" fillId="3" borderId="7" xfId="0" applyNumberFormat="1" applyFont="1" applyFill="1" applyBorder="1" applyAlignment="1">
      <alignment horizontal="center"/>
    </xf>
    <xf numFmtId="164" fontId="18" fillId="3" borderId="18" xfId="0" applyNumberFormat="1" applyFont="1" applyFill="1" applyBorder="1" applyAlignment="1">
      <alignment horizontal="center"/>
    </xf>
    <xf numFmtId="164" fontId="18" fillId="3" borderId="7" xfId="0" applyNumberFormat="1" applyFont="1" applyFill="1" applyBorder="1" applyAlignment="1">
      <alignment horizontal="center"/>
    </xf>
    <xf numFmtId="164" fontId="18" fillId="3" borderId="10" xfId="0" applyNumberFormat="1" applyFont="1" applyFill="1" applyBorder="1" applyAlignment="1">
      <alignment horizontal="center"/>
    </xf>
    <xf numFmtId="164" fontId="18" fillId="3" borderId="8" xfId="0" applyNumberFormat="1" applyFont="1" applyFill="1" applyBorder="1" applyAlignment="1">
      <alignment horizontal="center"/>
    </xf>
    <xf numFmtId="0" fontId="18" fillId="3" borderId="4" xfId="0" applyFont="1" applyFill="1" applyBorder="1" applyAlignment="1">
      <alignment horizontal="left" vertical="center"/>
    </xf>
    <xf numFmtId="0" fontId="0" fillId="12" borderId="0" xfId="0" applyFill="1"/>
    <xf numFmtId="0" fontId="4" fillId="2" borderId="17" xfId="0" applyFont="1" applyFill="1" applyBorder="1" applyAlignment="1">
      <alignment horizontal="left" vertical="top"/>
    </xf>
    <xf numFmtId="0" fontId="4" fillId="2" borderId="13" xfId="0" applyFont="1" applyFill="1" applyBorder="1" applyAlignment="1">
      <alignment horizontal="left" vertical="top"/>
    </xf>
    <xf numFmtId="0" fontId="4" fillId="2" borderId="14" xfId="0" applyFont="1" applyFill="1" applyBorder="1" applyAlignment="1">
      <alignment horizontal="left" vertical="top"/>
    </xf>
    <xf numFmtId="0" fontId="4" fillId="2" borderId="16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15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4" fontId="3" fillId="2" borderId="9" xfId="0" applyNumberFormat="1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14" fontId="3" fillId="2" borderId="6" xfId="0" applyNumberFormat="1" applyFont="1" applyFill="1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18" fillId="3" borderId="9" xfId="0" applyFont="1" applyFill="1" applyBorder="1" applyAlignment="1">
      <alignment horizontal="left" vertical="center"/>
    </xf>
    <xf numFmtId="0" fontId="18" fillId="3" borderId="6" xfId="0" applyFont="1" applyFill="1" applyBorder="1" applyAlignment="1">
      <alignment horizontal="left" vertical="center"/>
    </xf>
    <xf numFmtId="0" fontId="18" fillId="3" borderId="17" xfId="0" applyFont="1" applyFill="1" applyBorder="1" applyAlignment="1">
      <alignment horizontal="left" vertical="center"/>
    </xf>
    <xf numFmtId="0" fontId="18" fillId="3" borderId="11" xfId="0" applyFont="1" applyFill="1" applyBorder="1" applyAlignment="1">
      <alignment horizontal="left" vertical="center"/>
    </xf>
    <xf numFmtId="0" fontId="18" fillId="10" borderId="13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165" fontId="18" fillId="3" borderId="0" xfId="0" applyNumberFormat="1" applyFont="1" applyFill="1" applyAlignment="1">
      <alignment horizontal="right" vertical="center"/>
    </xf>
    <xf numFmtId="165" fontId="18" fillId="3" borderId="15" xfId="0" applyNumberFormat="1" applyFont="1" applyFill="1" applyBorder="1" applyAlignment="1">
      <alignment horizontal="right" vertical="center"/>
    </xf>
    <xf numFmtId="166" fontId="21" fillId="3" borderId="2" xfId="0" applyNumberFormat="1" applyFont="1" applyFill="1" applyBorder="1" applyAlignment="1">
      <alignment horizontal="right" vertical="center"/>
    </xf>
    <xf numFmtId="166" fontId="21" fillId="3" borderId="1" xfId="0" applyNumberFormat="1" applyFont="1" applyFill="1" applyBorder="1" applyAlignment="1">
      <alignment horizontal="right" vertical="center"/>
    </xf>
    <xf numFmtId="165" fontId="18" fillId="3" borderId="0" xfId="0" applyNumberFormat="1" applyFont="1" applyFill="1" applyAlignment="1">
      <alignment horizontal="right"/>
    </xf>
    <xf numFmtId="165" fontId="18" fillId="3" borderId="15" xfId="0" applyNumberFormat="1" applyFont="1" applyFill="1" applyBorder="1" applyAlignment="1">
      <alignment horizontal="right"/>
    </xf>
    <xf numFmtId="166" fontId="21" fillId="3" borderId="2" xfId="0" applyNumberFormat="1" applyFont="1" applyFill="1" applyBorder="1" applyAlignment="1">
      <alignment horizontal="right"/>
    </xf>
    <xf numFmtId="166" fontId="21" fillId="3" borderId="1" xfId="0" applyNumberFormat="1" applyFont="1" applyFill="1" applyBorder="1" applyAlignment="1">
      <alignment horizontal="right"/>
    </xf>
    <xf numFmtId="0" fontId="18" fillId="3" borderId="13" xfId="0" applyFont="1" applyFill="1" applyBorder="1" applyAlignment="1">
      <alignment horizontal="left" vertical="center"/>
    </xf>
    <xf numFmtId="0" fontId="18" fillId="3" borderId="14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18" fillId="3" borderId="16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left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12" borderId="9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14" fontId="9" fillId="8" borderId="4" xfId="0" applyNumberFormat="1" applyFont="1" applyFill="1" applyBorder="1" applyAlignment="1">
      <alignment horizontal="center" vertical="center"/>
    </xf>
    <xf numFmtId="14" fontId="9" fillId="8" borderId="6" xfId="0" applyNumberFormat="1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7222F5CE-F912-A14E-885C-20BAA7A0D55B}"/>
  </cellStyles>
  <dxfs count="2"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FE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239276</xdr:colOff>
      <xdr:row>0</xdr:row>
      <xdr:rowOff>174855</xdr:rowOff>
    </xdr:from>
    <xdr:ext cx="685800" cy="457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C8768D6-0094-9A45-96DB-390BF6B3242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9276" y="174855"/>
          <a:ext cx="685800" cy="457200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9F244-45F2-2140-B71F-EDC235690FBC}" name="Table_1" displayName="Table_1" ref="A1:C11">
  <tableColumns count="3">
    <tableColumn id="1" xr3:uid="{EA5C343B-0DD7-BB4F-BE78-C192916EE817}" name="Produit 1"/>
    <tableColumn id="3" xr3:uid="{52BA67C3-6BC4-014F-BA7B-C3E7452AB1F0}" name="Type" dataDxfId="1"/>
    <tableColumn id="2" xr3:uid="{2A8CD08F-CA83-694C-94F6-8486B80010EB}" name="DDM" dataDxfId="0"/>
  </tableColumns>
  <tableStyleInfo name="TableStyleLight2" showFirstColumn="1" showLastColumn="1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92FA-4504-2847-8060-0EEE7AA95510}">
  <dimension ref="A1:J98"/>
  <sheetViews>
    <sheetView tabSelected="1" view="pageLayout" topLeftCell="A4" zoomScale="200" zoomScaleNormal="100" zoomScalePageLayoutView="200" workbookViewId="0">
      <selection activeCell="B16" sqref="B16"/>
    </sheetView>
  </sheetViews>
  <sheetFormatPr baseColWidth="10" defaultRowHeight="16" x14ac:dyDescent="0.2"/>
  <cols>
    <col min="1" max="1" width="11" customWidth="1"/>
    <col min="2" max="9" width="7.5" customWidth="1"/>
    <col min="10" max="10" width="10.5" customWidth="1"/>
  </cols>
  <sheetData>
    <row r="1" spans="1:10" x14ac:dyDescent="0.2">
      <c r="A1" s="146" t="s">
        <v>12</v>
      </c>
      <c r="B1" s="147"/>
      <c r="C1" s="147"/>
      <c r="D1" s="147"/>
      <c r="E1" s="147"/>
      <c r="F1" s="147"/>
      <c r="G1" s="147"/>
      <c r="H1" s="147"/>
      <c r="I1" s="152" t="s">
        <v>13</v>
      </c>
      <c r="J1" s="153"/>
    </row>
    <row r="2" spans="1:10" x14ac:dyDescent="0.2">
      <c r="A2" s="148"/>
      <c r="B2" s="149"/>
      <c r="C2" s="149"/>
      <c r="D2" s="149"/>
      <c r="E2" s="149"/>
      <c r="F2" s="149"/>
      <c r="G2" s="149"/>
      <c r="H2" s="149"/>
      <c r="I2" s="154" t="s">
        <v>14</v>
      </c>
      <c r="J2" s="155"/>
    </row>
    <row r="3" spans="1:10" ht="16" customHeight="1" x14ac:dyDescent="0.2">
      <c r="A3" s="148"/>
      <c r="B3" s="149"/>
      <c r="C3" s="149"/>
      <c r="D3" s="149"/>
      <c r="E3" s="149"/>
      <c r="F3" s="149"/>
      <c r="G3" s="149"/>
      <c r="H3" s="149"/>
      <c r="I3" s="156" t="s">
        <v>15</v>
      </c>
      <c r="J3" s="157"/>
    </row>
    <row r="4" spans="1:10" ht="16" customHeight="1" x14ac:dyDescent="0.2">
      <c r="A4" s="150"/>
      <c r="B4" s="151"/>
      <c r="C4" s="151"/>
      <c r="D4" s="151"/>
      <c r="E4" s="151"/>
      <c r="F4" s="151"/>
      <c r="G4" s="151"/>
      <c r="H4" s="151"/>
      <c r="I4" s="158" t="s">
        <v>16</v>
      </c>
      <c r="J4" s="159"/>
    </row>
    <row r="5" spans="1:10" ht="9" customHeight="1" x14ac:dyDescent="0.2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ht="19" x14ac:dyDescent="0.25">
      <c r="A6" s="112" t="s">
        <v>17</v>
      </c>
      <c r="B6" s="113"/>
      <c r="C6" s="113"/>
      <c r="D6" s="113"/>
      <c r="E6" s="113"/>
      <c r="F6" s="113"/>
      <c r="G6" s="113"/>
      <c r="H6" s="113"/>
      <c r="I6" s="113"/>
      <c r="J6" s="114"/>
    </row>
    <row r="7" spans="1:10" ht="9" customHeight="1" x14ac:dyDescent="0.2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x14ac:dyDescent="0.2">
      <c r="A8" s="9" t="s">
        <v>18</v>
      </c>
      <c r="B8" s="139" t="s">
        <v>56</v>
      </c>
      <c r="C8" s="140"/>
      <c r="D8" s="140"/>
      <c r="E8" s="140"/>
      <c r="F8" s="140"/>
      <c r="G8" s="140"/>
      <c r="H8" s="140"/>
      <c r="I8" s="140"/>
      <c r="J8" s="141"/>
    </row>
    <row r="9" spans="1:10" ht="9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">
      <c r="A10" s="10" t="s">
        <v>19</v>
      </c>
      <c r="B10" s="142">
        <v>46427</v>
      </c>
      <c r="C10" s="143"/>
      <c r="D10" s="8"/>
      <c r="E10" s="8"/>
      <c r="F10" s="8"/>
      <c r="G10" s="8"/>
      <c r="H10" s="10" t="s">
        <v>20</v>
      </c>
      <c r="I10" s="144">
        <v>90226</v>
      </c>
      <c r="J10" s="145"/>
    </row>
    <row r="11" spans="1:10" ht="9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">
      <c r="A12" s="11"/>
      <c r="B12" s="97" t="s">
        <v>1</v>
      </c>
      <c r="C12" s="98"/>
      <c r="D12" s="98"/>
      <c r="E12" s="99"/>
      <c r="F12" s="100" t="s">
        <v>2</v>
      </c>
      <c r="G12" s="98"/>
      <c r="H12" s="98"/>
      <c r="I12" s="101"/>
      <c r="J12" s="8"/>
    </row>
    <row r="13" spans="1:10" ht="16" customHeight="1" x14ac:dyDescent="0.2">
      <c r="A13" s="12"/>
      <c r="B13" s="102" t="s">
        <v>9</v>
      </c>
      <c r="C13" s="103"/>
      <c r="D13" s="2" t="s">
        <v>3</v>
      </c>
      <c r="E13" s="3" t="s">
        <v>21</v>
      </c>
      <c r="F13" s="104" t="s">
        <v>9</v>
      </c>
      <c r="G13" s="103"/>
      <c r="H13" s="2" t="s">
        <v>3</v>
      </c>
      <c r="I13" s="2" t="s">
        <v>10</v>
      </c>
      <c r="J13" s="8"/>
    </row>
    <row r="14" spans="1:10" ht="16" customHeight="1" x14ac:dyDescent="0.2">
      <c r="A14" s="11" t="s">
        <v>0</v>
      </c>
      <c r="B14" s="2" t="s">
        <v>11</v>
      </c>
      <c r="C14" s="2" t="s">
        <v>4</v>
      </c>
      <c r="D14" s="2" t="s">
        <v>11</v>
      </c>
      <c r="E14" s="3" t="s">
        <v>4</v>
      </c>
      <c r="F14" s="1" t="s">
        <v>4</v>
      </c>
      <c r="G14" s="2" t="s">
        <v>5</v>
      </c>
      <c r="H14" s="2" t="s">
        <v>4</v>
      </c>
      <c r="I14" s="2"/>
      <c r="J14" s="8"/>
    </row>
    <row r="15" spans="1:10" x14ac:dyDescent="0.2">
      <c r="A15" s="4" t="s">
        <v>6</v>
      </c>
      <c r="B15" s="2">
        <f>B16*12</f>
        <v>12</v>
      </c>
      <c r="C15" s="2">
        <f>C16*6</f>
        <v>2400</v>
      </c>
      <c r="D15" s="2">
        <f>D16*12</f>
        <v>6000</v>
      </c>
      <c r="E15" s="3">
        <f>E16*6</f>
        <v>3600</v>
      </c>
      <c r="F15" s="1">
        <f>F16*6</f>
        <v>6</v>
      </c>
      <c r="G15" s="2">
        <f>G16*4</f>
        <v>1104</v>
      </c>
      <c r="H15" s="2">
        <f>H16*6</f>
        <v>6</v>
      </c>
      <c r="I15" s="2"/>
      <c r="J15" s="8"/>
    </row>
    <row r="16" spans="1:10" x14ac:dyDescent="0.2">
      <c r="A16" s="4" t="s">
        <v>7</v>
      </c>
      <c r="B16" s="5">
        <v>1</v>
      </c>
      <c r="C16" s="5">
        <v>400</v>
      </c>
      <c r="D16" s="5">
        <v>500</v>
      </c>
      <c r="E16" s="6">
        <v>600</v>
      </c>
      <c r="F16" s="7">
        <v>1</v>
      </c>
      <c r="G16" s="5">
        <v>276</v>
      </c>
      <c r="H16" s="5">
        <v>1</v>
      </c>
      <c r="I16" s="5"/>
      <c r="J16" s="8"/>
    </row>
    <row r="17" spans="1:10" x14ac:dyDescent="0.2">
      <c r="A17" s="4" t="s">
        <v>8</v>
      </c>
      <c r="B17" s="108">
        <f>(SUM(B15:E15)*0.33+SUM(F15:I15)*0.75)</f>
        <v>4800.96</v>
      </c>
      <c r="C17" s="109"/>
      <c r="D17" s="109"/>
      <c r="E17" s="109"/>
      <c r="F17" s="109"/>
      <c r="G17" s="109"/>
      <c r="H17" s="109"/>
      <c r="I17" s="110"/>
      <c r="J17" s="8"/>
    </row>
    <row r="18" spans="1:10" ht="9" customHeight="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19" x14ac:dyDescent="0.25">
      <c r="A19" s="112" t="s">
        <v>22</v>
      </c>
      <c r="B19" s="113"/>
      <c r="C19" s="113"/>
      <c r="D19" s="113"/>
      <c r="E19" s="113"/>
      <c r="F19" s="113"/>
      <c r="G19" s="113"/>
      <c r="H19" s="113"/>
      <c r="I19" s="113"/>
      <c r="J19" s="114"/>
    </row>
    <row r="20" spans="1:10" ht="16" customHeight="1" x14ac:dyDescent="0.2">
      <c r="A20" s="13" t="s">
        <v>23</v>
      </c>
      <c r="B20" s="13" t="s">
        <v>24</v>
      </c>
      <c r="C20" s="28" t="s">
        <v>25</v>
      </c>
      <c r="D20" s="29" t="s">
        <v>26</v>
      </c>
      <c r="E20" s="14" t="s">
        <v>27</v>
      </c>
      <c r="F20" s="15" t="s">
        <v>28</v>
      </c>
      <c r="G20" s="134" t="s">
        <v>29</v>
      </c>
      <c r="H20" s="135"/>
      <c r="I20" s="136"/>
      <c r="J20" s="23" t="s">
        <v>30</v>
      </c>
    </row>
    <row r="21" spans="1:10" x14ac:dyDescent="0.2">
      <c r="A21" s="24">
        <v>46062</v>
      </c>
      <c r="B21" s="25"/>
      <c r="C21" s="26"/>
      <c r="D21" s="26"/>
      <c r="E21" s="18"/>
      <c r="F21" s="22" t="s">
        <v>31</v>
      </c>
      <c r="G21" s="137"/>
      <c r="H21" s="138"/>
      <c r="I21" s="138"/>
      <c r="J21" s="35"/>
    </row>
    <row r="22" spans="1:10" x14ac:dyDescent="0.2">
      <c r="A22" s="19"/>
      <c r="B22" s="20"/>
      <c r="C22" s="21"/>
      <c r="D22" s="21"/>
      <c r="E22" s="18"/>
      <c r="F22" s="22" t="s">
        <v>31</v>
      </c>
      <c r="G22" s="137"/>
      <c r="H22" s="138"/>
      <c r="I22" s="138"/>
      <c r="J22" s="35"/>
    </row>
    <row r="23" spans="1:10" x14ac:dyDescent="0.2">
      <c r="A23" s="16"/>
      <c r="B23" s="17"/>
      <c r="C23" s="21"/>
      <c r="D23" s="21"/>
      <c r="E23" s="31"/>
      <c r="F23" s="33" t="s">
        <v>31</v>
      </c>
      <c r="G23" s="137"/>
      <c r="H23" s="138"/>
      <c r="I23" s="138"/>
      <c r="J23" s="35"/>
    </row>
    <row r="24" spans="1:10" x14ac:dyDescent="0.2">
      <c r="A24" s="16"/>
      <c r="B24" s="27"/>
      <c r="C24" s="21"/>
      <c r="D24" s="30"/>
      <c r="E24" s="32"/>
      <c r="F24" s="34" t="s">
        <v>31</v>
      </c>
      <c r="G24" s="137"/>
      <c r="H24" s="138"/>
      <c r="I24" s="138"/>
      <c r="J24" s="35"/>
    </row>
    <row r="25" spans="1:10" ht="8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2">
      <c r="A26" s="36" t="s">
        <v>32</v>
      </c>
      <c r="B26" s="8"/>
      <c r="C26" s="37" t="b">
        <v>0</v>
      </c>
      <c r="D26" s="38" t="s">
        <v>33</v>
      </c>
      <c r="E26" s="8"/>
      <c r="F26" s="8"/>
      <c r="G26" s="8"/>
      <c r="H26" s="8"/>
      <c r="I26" s="8"/>
      <c r="J26" s="8"/>
    </row>
    <row r="27" spans="1:10" x14ac:dyDescent="0.2">
      <c r="A27" s="8"/>
      <c r="B27" s="8"/>
      <c r="C27" s="37" t="b">
        <v>0</v>
      </c>
      <c r="D27" s="38" t="s">
        <v>34</v>
      </c>
      <c r="E27" s="8"/>
      <c r="F27" s="8"/>
      <c r="G27" s="8"/>
      <c r="H27" s="8"/>
      <c r="I27" s="8"/>
      <c r="J27" s="8"/>
    </row>
    <row r="28" spans="1:10" ht="8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2">
      <c r="A29" s="39" t="s">
        <v>39</v>
      </c>
      <c r="B29" s="39"/>
      <c r="C29" s="39"/>
      <c r="D29" s="39"/>
      <c r="E29" s="39"/>
      <c r="F29" s="39"/>
      <c r="G29" s="39" t="s">
        <v>95</v>
      </c>
      <c r="H29" s="39"/>
      <c r="J29" s="40"/>
    </row>
    <row r="30" spans="1:10" x14ac:dyDescent="0.2">
      <c r="A30" s="117" t="s">
        <v>35</v>
      </c>
      <c r="B30" s="129"/>
      <c r="C30" s="43">
        <f>_xlfn.XLOOKUP(_xlfn.XLOOKUP(B8,Data!A:A,Data!B:B),Recettes!B:B,Recettes!C:C)</f>
        <v>182.03360000000001</v>
      </c>
      <c r="D30" s="8"/>
      <c r="E30" s="8"/>
      <c r="F30" s="8"/>
      <c r="G30" s="115" t="s">
        <v>99</v>
      </c>
      <c r="H30" s="116"/>
      <c r="I30" s="81" t="s">
        <v>100</v>
      </c>
      <c r="J30" s="81" t="s">
        <v>101</v>
      </c>
    </row>
    <row r="31" spans="1:10" x14ac:dyDescent="0.2">
      <c r="A31" s="130" t="s">
        <v>36</v>
      </c>
      <c r="B31" s="131"/>
      <c r="C31" s="44">
        <f>_xlfn.XLOOKUP(_xlfn.XLOOKUP(B8,Data!A:A,Data!B:B),Recettes!B:B,Recettes!D:D)</f>
        <v>83.215360000000004</v>
      </c>
      <c r="D31" s="48"/>
      <c r="E31" s="49"/>
      <c r="F31" s="8"/>
      <c r="G31" s="117" t="s">
        <v>96</v>
      </c>
      <c r="H31" s="118"/>
      <c r="I31" s="78">
        <f>SUM(B15:E15)</f>
        <v>12012</v>
      </c>
      <c r="J31" s="84">
        <f>I31/3610</f>
        <v>3.3274238227146813</v>
      </c>
    </row>
    <row r="32" spans="1:10" x14ac:dyDescent="0.2">
      <c r="A32" s="130" t="s">
        <v>37</v>
      </c>
      <c r="B32" s="131"/>
      <c r="C32" s="44">
        <f>_xlfn.XLOOKUP(_xlfn.XLOOKUP(B8,Data!A:A,Data!B:B),Recettes!B:B,Recettes!E:E)</f>
        <v>20.803840000000001</v>
      </c>
      <c r="D32" s="8"/>
      <c r="E32" s="8"/>
      <c r="F32" s="8"/>
      <c r="G32" s="41" t="s">
        <v>97</v>
      </c>
      <c r="H32" s="45"/>
      <c r="I32" s="78">
        <f>G15+H15</f>
        <v>1110</v>
      </c>
      <c r="J32" s="82">
        <f>I32/1421</f>
        <v>0.78114004222378608</v>
      </c>
    </row>
    <row r="33" spans="1:10" x14ac:dyDescent="0.2">
      <c r="A33" s="132" t="s">
        <v>38</v>
      </c>
      <c r="B33" s="133"/>
      <c r="C33" s="54">
        <f>_xlfn.XLOOKUP(_xlfn.XLOOKUP(B8,Data!A:A,Data!B:B),Recettes!B:B,Recettes!F:F)</f>
        <v>31.205760000000001</v>
      </c>
      <c r="D33" s="8"/>
      <c r="E33" s="8"/>
      <c r="F33" s="8"/>
      <c r="G33" s="46" t="s">
        <v>98</v>
      </c>
      <c r="H33" s="47"/>
      <c r="I33" s="79">
        <f>F15</f>
        <v>6</v>
      </c>
      <c r="J33" s="85">
        <f>I33/1421</f>
        <v>4.22237860661506E-3</v>
      </c>
    </row>
    <row r="34" spans="1:10" ht="9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2">
      <c r="A35" s="117" t="s">
        <v>40</v>
      </c>
      <c r="B35" s="129"/>
      <c r="C35" s="50">
        <f>B17+400</f>
        <v>5200.96</v>
      </c>
      <c r="D35" s="8"/>
      <c r="E35" s="8"/>
      <c r="F35" s="8"/>
      <c r="G35" s="80" t="s">
        <v>102</v>
      </c>
      <c r="H35" s="86"/>
      <c r="I35" s="81">
        <f>F17</f>
        <v>0</v>
      </c>
      <c r="J35" s="83">
        <f>I35/1421</f>
        <v>0</v>
      </c>
    </row>
    <row r="36" spans="1:10" x14ac:dyDescent="0.2">
      <c r="A36" s="130" t="s">
        <v>41</v>
      </c>
      <c r="B36" s="131"/>
      <c r="C36" s="51">
        <f>'CUVE 1 et 2 Mesure'!G6</f>
        <v>268.99599999999998</v>
      </c>
      <c r="D36" s="8"/>
      <c r="E36" s="8"/>
      <c r="F36" s="8"/>
      <c r="G36" s="8"/>
      <c r="H36" s="8"/>
      <c r="I36" s="8"/>
      <c r="J36" s="8"/>
    </row>
    <row r="37" spans="1:10" x14ac:dyDescent="0.2">
      <c r="A37" s="130" t="s">
        <v>42</v>
      </c>
      <c r="B37" s="131"/>
      <c r="C37" s="51" t="s">
        <v>43</v>
      </c>
      <c r="D37" s="8"/>
      <c r="E37" s="8"/>
      <c r="F37" s="8"/>
      <c r="G37" s="8"/>
      <c r="H37" s="8"/>
      <c r="I37" s="8"/>
      <c r="J37" s="8"/>
    </row>
    <row r="38" spans="1:10" x14ac:dyDescent="0.2">
      <c r="A38" s="132" t="s">
        <v>44</v>
      </c>
      <c r="B38" s="133"/>
      <c r="C38" s="52" t="s">
        <v>45</v>
      </c>
      <c r="D38" s="8"/>
      <c r="E38" s="8"/>
      <c r="F38" s="8"/>
      <c r="G38" s="8"/>
      <c r="H38" s="8"/>
      <c r="I38" s="8"/>
      <c r="J38" s="8"/>
    </row>
    <row r="39" spans="1:10" ht="9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x14ac:dyDescent="0.2">
      <c r="A40" s="39" t="s">
        <v>46</v>
      </c>
      <c r="B40" s="40"/>
      <c r="C40" s="40"/>
      <c r="D40" s="40"/>
      <c r="E40" s="40"/>
      <c r="F40" s="40"/>
      <c r="G40" s="40"/>
      <c r="H40" s="40"/>
      <c r="I40" s="40"/>
      <c r="J40" s="8"/>
    </row>
    <row r="41" spans="1:10" x14ac:dyDescent="0.2">
      <c r="A41" s="55" t="str">
        <f>A8</f>
        <v>Produit  :</v>
      </c>
      <c r="B41" s="119"/>
      <c r="C41" s="119"/>
      <c r="D41" s="120"/>
      <c r="E41" s="8"/>
      <c r="F41" s="8"/>
      <c r="G41" s="8"/>
      <c r="H41" s="8"/>
      <c r="I41" s="8"/>
      <c r="J41" s="8"/>
    </row>
    <row r="42" spans="1:10" x14ac:dyDescent="0.2">
      <c r="A42" s="53" t="s">
        <v>47</v>
      </c>
      <c r="B42" s="125">
        <f>IF(ISNUMBER( SEARCH("Infusion",B8)), 0, (C35-200)*60%)</f>
        <v>3000.576</v>
      </c>
      <c r="C42" s="125"/>
      <c r="D42" s="126"/>
      <c r="E42" s="8"/>
      <c r="F42" s="8"/>
      <c r="G42" s="8"/>
      <c r="H42" s="8"/>
      <c r="I42" s="8"/>
      <c r="J42" s="8"/>
    </row>
    <row r="43" spans="1:10" x14ac:dyDescent="0.2">
      <c r="A43" s="53" t="s">
        <v>48</v>
      </c>
      <c r="B43" s="125">
        <f>IF(ISNUMBER(SEARCH("infusion",B8)),0,_xlfn.XLOOKUP(B8,Data!E:E,Data!F:F)*'Fiche de production'!C35+B42)</f>
        <v>3125.3990400000002</v>
      </c>
      <c r="C43" s="125"/>
      <c r="D43" s="126"/>
      <c r="E43" s="8"/>
      <c r="F43" s="8"/>
      <c r="G43" s="8"/>
      <c r="H43" s="8"/>
      <c r="I43" s="8"/>
      <c r="J43" s="8"/>
    </row>
    <row r="44" spans="1:10" x14ac:dyDescent="0.2">
      <c r="A44" s="42" t="s">
        <v>49</v>
      </c>
      <c r="B44" s="127">
        <f>'CUVE 1 et 2 Mesure'!G13</f>
        <v>160.76995200000002</v>
      </c>
      <c r="C44" s="127"/>
      <c r="D44" s="128"/>
      <c r="E44" s="8"/>
      <c r="F44" s="8"/>
      <c r="G44" s="8"/>
      <c r="H44" s="8"/>
      <c r="I44" s="8"/>
      <c r="J44" s="8"/>
    </row>
    <row r="45" spans="1:10" ht="8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x14ac:dyDescent="0.2">
      <c r="A46" s="39" t="s">
        <v>64</v>
      </c>
      <c r="B46" s="40"/>
      <c r="C46" s="40"/>
      <c r="D46" s="40"/>
      <c r="E46" s="8"/>
      <c r="F46" s="8"/>
      <c r="G46" s="8"/>
      <c r="H46" s="8"/>
      <c r="I46" s="8"/>
      <c r="J46" s="8"/>
    </row>
    <row r="47" spans="1:10" x14ac:dyDescent="0.2">
      <c r="A47" s="55" t="str">
        <f>A14</f>
        <v>Quantité</v>
      </c>
      <c r="B47" s="119"/>
      <c r="C47" s="119"/>
      <c r="D47" s="120"/>
      <c r="E47" s="8"/>
      <c r="F47" s="8"/>
      <c r="G47" s="8"/>
      <c r="H47" s="8"/>
      <c r="I47" s="8"/>
      <c r="J47" s="8"/>
    </row>
    <row r="48" spans="1:10" x14ac:dyDescent="0.2">
      <c r="A48" s="53" t="s">
        <v>78</v>
      </c>
      <c r="B48" s="121">
        <f>_xlfn.XLOOKUP(B8,Data!E:E,Data!F:F)*'Fiche de production'!C35+C35-400</f>
        <v>4925.7830400000003</v>
      </c>
      <c r="C48" s="121"/>
      <c r="D48" s="122"/>
      <c r="E48" s="8"/>
      <c r="F48" s="8"/>
      <c r="G48" s="8"/>
      <c r="H48" s="8"/>
      <c r="I48" s="8"/>
      <c r="J48" s="8"/>
    </row>
    <row r="49" spans="1:10" x14ac:dyDescent="0.2">
      <c r="A49" s="42" t="s">
        <v>49</v>
      </c>
      <c r="B49" s="123">
        <f>'CUVE 1 et 2 Mesure'!G21</f>
        <v>251.45727746534652</v>
      </c>
      <c r="C49" s="123"/>
      <c r="D49" s="124"/>
      <c r="E49" s="8"/>
      <c r="F49" s="8"/>
      <c r="G49" s="8"/>
      <c r="H49" s="8"/>
      <c r="I49" s="8"/>
      <c r="J49" s="8"/>
    </row>
    <row r="50" spans="1:10" x14ac:dyDescent="0.2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x14ac:dyDescent="0.2">
      <c r="A51" s="59" t="s">
        <v>65</v>
      </c>
      <c r="B51" s="8"/>
      <c r="C51" s="8"/>
      <c r="D51" s="8"/>
      <c r="E51" s="8"/>
      <c r="F51" s="8"/>
      <c r="G51" s="8"/>
      <c r="H51" s="8"/>
      <c r="I51" s="8"/>
      <c r="J51" s="8"/>
    </row>
    <row r="52" spans="1:10" x14ac:dyDescent="0.2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x14ac:dyDescent="0.2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x14ac:dyDescent="0.2">
      <c r="A54" s="8"/>
      <c r="B54" s="8"/>
      <c r="C54" s="8"/>
      <c r="D54" s="8"/>
      <c r="E54" s="8"/>
      <c r="F54" s="8"/>
      <c r="G54" s="38" t="s">
        <v>93</v>
      </c>
      <c r="H54" s="8"/>
      <c r="I54" s="8"/>
      <c r="J54" s="77">
        <f>A21</f>
        <v>46062</v>
      </c>
    </row>
    <row r="55" spans="1:10" x14ac:dyDescent="0.2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ht="19" x14ac:dyDescent="0.25">
      <c r="A56" s="112" t="s">
        <v>94</v>
      </c>
      <c r="B56" s="113"/>
      <c r="C56" s="113"/>
      <c r="D56" s="113"/>
      <c r="E56" s="113"/>
      <c r="F56" s="113"/>
      <c r="G56" s="113"/>
      <c r="H56" s="113"/>
      <c r="I56" s="113"/>
      <c r="J56" s="114"/>
    </row>
    <row r="57" spans="1:10" x14ac:dyDescent="0.2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 x14ac:dyDescent="0.2">
      <c r="A58" s="8"/>
      <c r="B58" s="87" t="str">
        <f>A8</f>
        <v>Produit  :</v>
      </c>
      <c r="C58" s="111" t="str">
        <f>B8</f>
        <v>K. Gingembre</v>
      </c>
      <c r="D58" s="111"/>
      <c r="E58" s="111"/>
      <c r="F58" s="111"/>
      <c r="G58" s="8"/>
      <c r="H58" s="8"/>
      <c r="I58" s="8"/>
      <c r="J58" s="8"/>
    </row>
    <row r="59" spans="1:10" x14ac:dyDescent="0.2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spans="1:10" x14ac:dyDescent="0.2">
      <c r="A60" s="11"/>
      <c r="B60" s="97" t="s">
        <v>1</v>
      </c>
      <c r="C60" s="98"/>
      <c r="D60" s="98"/>
      <c r="E60" s="99"/>
      <c r="F60" s="100" t="s">
        <v>2</v>
      </c>
      <c r="G60" s="98"/>
      <c r="H60" s="98"/>
      <c r="I60" s="101"/>
      <c r="J60" s="8"/>
    </row>
    <row r="61" spans="1:10" x14ac:dyDescent="0.2">
      <c r="A61" s="12"/>
      <c r="B61" s="102" t="s">
        <v>9</v>
      </c>
      <c r="C61" s="103"/>
      <c r="D61" s="2" t="s">
        <v>3</v>
      </c>
      <c r="E61" s="3" t="s">
        <v>21</v>
      </c>
      <c r="F61" s="104" t="s">
        <v>9</v>
      </c>
      <c r="G61" s="103"/>
      <c r="H61" s="2" t="s">
        <v>3</v>
      </c>
      <c r="I61" s="2" t="s">
        <v>10</v>
      </c>
      <c r="J61" s="8"/>
    </row>
    <row r="62" spans="1:10" x14ac:dyDescent="0.2">
      <c r="A62" s="11" t="s">
        <v>0</v>
      </c>
      <c r="B62" s="2" t="s">
        <v>11</v>
      </c>
      <c r="C62" s="2" t="s">
        <v>4</v>
      </c>
      <c r="D62" s="2" t="s">
        <v>11</v>
      </c>
      <c r="E62" s="3" t="s">
        <v>4</v>
      </c>
      <c r="F62" s="1" t="s">
        <v>4</v>
      </c>
      <c r="G62" s="2" t="s">
        <v>5</v>
      </c>
      <c r="H62" s="2" t="s">
        <v>4</v>
      </c>
      <c r="I62" s="2"/>
      <c r="J62" s="8"/>
    </row>
    <row r="63" spans="1:10" x14ac:dyDescent="0.2">
      <c r="A63" s="4" t="s">
        <v>6</v>
      </c>
      <c r="B63" s="2">
        <f>B64*12</f>
        <v>12</v>
      </c>
      <c r="C63" s="2">
        <f>C64*6</f>
        <v>2400</v>
      </c>
      <c r="D63" s="2">
        <f>D64*12</f>
        <v>6000</v>
      </c>
      <c r="E63" s="3">
        <f>E64*6</f>
        <v>3600</v>
      </c>
      <c r="F63" s="1">
        <f>F64*6</f>
        <v>6</v>
      </c>
      <c r="G63" s="2">
        <f>G64*4</f>
        <v>1104</v>
      </c>
      <c r="H63" s="2">
        <f>H64*6</f>
        <v>6</v>
      </c>
      <c r="I63" s="2"/>
      <c r="J63" s="8"/>
    </row>
    <row r="64" spans="1:10" x14ac:dyDescent="0.2">
      <c r="A64" s="4" t="s">
        <v>7</v>
      </c>
      <c r="B64" s="5">
        <v>1</v>
      </c>
      <c r="C64" s="5">
        <v>400</v>
      </c>
      <c r="D64" s="5">
        <v>500</v>
      </c>
      <c r="E64" s="6">
        <v>600</v>
      </c>
      <c r="F64" s="7">
        <v>1</v>
      </c>
      <c r="G64" s="5">
        <v>276</v>
      </c>
      <c r="H64" s="5">
        <v>1</v>
      </c>
      <c r="I64" s="5"/>
      <c r="J64" s="8"/>
    </row>
    <row r="65" spans="1:10" x14ac:dyDescent="0.2">
      <c r="A65" s="4" t="s">
        <v>8</v>
      </c>
      <c r="B65" s="108">
        <f>(SUM(B63:E63)*0.33+SUM(F63:I63)*0.75)</f>
        <v>4800.96</v>
      </c>
      <c r="C65" s="109"/>
      <c r="D65" s="109"/>
      <c r="E65" s="109"/>
      <c r="F65" s="109"/>
      <c r="G65" s="109"/>
      <c r="H65" s="109"/>
      <c r="I65" s="110"/>
      <c r="J65" s="8"/>
    </row>
    <row r="66" spans="1:10" x14ac:dyDescent="0.2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0" x14ac:dyDescent="0.2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0" ht="19" x14ac:dyDescent="0.25">
      <c r="A68" s="112" t="s">
        <v>103</v>
      </c>
      <c r="B68" s="113"/>
      <c r="C68" s="113"/>
      <c r="D68" s="113"/>
      <c r="E68" s="113"/>
      <c r="F68" s="113"/>
      <c r="G68" s="113"/>
      <c r="H68" s="113"/>
      <c r="I68" s="113"/>
      <c r="J68" s="114"/>
    </row>
    <row r="69" spans="1:10" x14ac:dyDescent="0.2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0" x14ac:dyDescent="0.2">
      <c r="A70" s="8"/>
      <c r="B70" s="87" t="str">
        <f>B58</f>
        <v>Produit  :</v>
      </c>
      <c r="C70" s="111" t="str">
        <f>C58</f>
        <v>K. Gingembre</v>
      </c>
      <c r="D70" s="111"/>
      <c r="E70" s="111"/>
      <c r="F70" s="111"/>
      <c r="G70" s="8"/>
      <c r="H70" s="8"/>
      <c r="I70" s="8"/>
      <c r="J70" s="8"/>
    </row>
    <row r="71" spans="1:10" x14ac:dyDescent="0.2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0" x14ac:dyDescent="0.2">
      <c r="A72" s="11"/>
      <c r="B72" s="97" t="s">
        <v>1</v>
      </c>
      <c r="C72" s="98"/>
      <c r="D72" s="98"/>
      <c r="E72" s="99"/>
      <c r="F72" s="100" t="s">
        <v>2</v>
      </c>
      <c r="G72" s="98"/>
      <c r="H72" s="98"/>
      <c r="I72" s="101"/>
      <c r="J72" s="8"/>
    </row>
    <row r="73" spans="1:10" x14ac:dyDescent="0.2">
      <c r="A73" s="12"/>
      <c r="B73" s="102" t="s">
        <v>9</v>
      </c>
      <c r="C73" s="103"/>
      <c r="D73" s="2" t="s">
        <v>3</v>
      </c>
      <c r="E73" s="3" t="s">
        <v>21</v>
      </c>
      <c r="F73" s="104" t="s">
        <v>9</v>
      </c>
      <c r="G73" s="103"/>
      <c r="H73" s="2" t="s">
        <v>3</v>
      </c>
      <c r="I73" s="2" t="s">
        <v>10</v>
      </c>
      <c r="J73" s="8"/>
    </row>
    <row r="74" spans="1:10" ht="24" customHeight="1" x14ac:dyDescent="0.2">
      <c r="A74" s="11" t="s">
        <v>0</v>
      </c>
      <c r="B74" s="2" t="s">
        <v>11</v>
      </c>
      <c r="C74" s="2" t="s">
        <v>4</v>
      </c>
      <c r="D74" s="2" t="s">
        <v>11</v>
      </c>
      <c r="E74" s="3" t="s">
        <v>4</v>
      </c>
      <c r="F74" s="1" t="s">
        <v>4</v>
      </c>
      <c r="G74" s="2" t="s">
        <v>5</v>
      </c>
      <c r="H74" s="2" t="s">
        <v>4</v>
      </c>
      <c r="I74" s="2"/>
      <c r="J74" s="8"/>
    </row>
    <row r="75" spans="1:10" ht="24" customHeight="1" x14ac:dyDescent="0.2">
      <c r="A75" s="4" t="s">
        <v>7</v>
      </c>
      <c r="B75" s="2"/>
      <c r="C75" s="2"/>
      <c r="D75" s="2"/>
      <c r="E75" s="3"/>
      <c r="F75" s="1"/>
      <c r="G75" s="2"/>
      <c r="H75" s="2"/>
      <c r="I75" s="2"/>
      <c r="J75" s="8"/>
    </row>
    <row r="76" spans="1:10" ht="24" customHeight="1" x14ac:dyDescent="0.2">
      <c r="A76" s="4" t="s">
        <v>104</v>
      </c>
      <c r="B76" s="2"/>
      <c r="C76" s="2"/>
      <c r="D76" s="2"/>
      <c r="E76" s="3"/>
      <c r="F76" s="1"/>
      <c r="G76" s="2"/>
      <c r="H76" s="2"/>
      <c r="I76" s="2"/>
      <c r="J76" s="8"/>
    </row>
    <row r="77" spans="1:10" ht="24" customHeight="1" x14ac:dyDescent="0.2">
      <c r="A77" s="4" t="s">
        <v>51</v>
      </c>
      <c r="B77" s="105">
        <f>B10</f>
        <v>46427</v>
      </c>
      <c r="C77" s="106"/>
      <c r="D77" s="106"/>
      <c r="E77" s="106"/>
      <c r="F77" s="106"/>
      <c r="G77" s="106"/>
      <c r="H77" s="106"/>
      <c r="I77" s="107"/>
      <c r="J77" s="8"/>
    </row>
    <row r="78" spans="1:10" x14ac:dyDescent="0.2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x14ac:dyDescent="0.2">
      <c r="A79" s="8" t="s">
        <v>108</v>
      </c>
      <c r="B79" s="8"/>
      <c r="C79" s="8"/>
      <c r="D79" s="8"/>
      <c r="E79" s="8"/>
      <c r="F79" s="8"/>
      <c r="G79" s="8"/>
      <c r="H79" s="8"/>
      <c r="I79" s="8"/>
      <c r="J79" s="8"/>
    </row>
    <row r="80" spans="1:10" ht="24" customHeight="1" x14ac:dyDescent="0.2">
      <c r="A80" s="4" t="s">
        <v>105</v>
      </c>
      <c r="B80" s="2"/>
      <c r="C80" s="2"/>
      <c r="D80" s="2"/>
      <c r="E80" s="3"/>
      <c r="F80" s="1"/>
      <c r="G80" s="2"/>
      <c r="H80" s="2"/>
      <c r="I80" s="2"/>
      <c r="J80" s="8"/>
    </row>
    <row r="81" spans="1:10" ht="24" customHeight="1" x14ac:dyDescent="0.2">
      <c r="A81" s="4" t="s">
        <v>106</v>
      </c>
      <c r="B81" s="2"/>
      <c r="C81" s="2"/>
      <c r="D81" s="2"/>
      <c r="E81" s="3"/>
      <c r="F81" s="1"/>
      <c r="G81" s="2"/>
      <c r="H81" s="2"/>
      <c r="I81" s="2"/>
      <c r="J81" s="8"/>
    </row>
    <row r="82" spans="1:10" ht="24" customHeight="1" x14ac:dyDescent="0.2">
      <c r="A82" s="4" t="s">
        <v>107</v>
      </c>
      <c r="B82" s="2"/>
      <c r="C82" s="2"/>
      <c r="D82" s="2"/>
      <c r="E82" s="3"/>
      <c r="F82" s="1"/>
      <c r="G82" s="2"/>
      <c r="H82" s="2"/>
      <c r="I82" s="2"/>
      <c r="J82" s="8"/>
    </row>
    <row r="83" spans="1:10" x14ac:dyDescent="0.2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 x14ac:dyDescent="0.2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 x14ac:dyDescent="0.2">
      <c r="A85" s="88" t="s">
        <v>109</v>
      </c>
      <c r="B85" s="89"/>
      <c r="C85" s="89"/>
      <c r="D85" s="89"/>
      <c r="E85" s="89"/>
      <c r="F85" s="89"/>
      <c r="G85" s="89"/>
      <c r="H85" s="89"/>
      <c r="I85" s="89"/>
      <c r="J85" s="93"/>
    </row>
    <row r="86" spans="1:10" x14ac:dyDescent="0.2">
      <c r="A86" s="90"/>
      <c r="B86" s="94"/>
      <c r="C86" s="94"/>
      <c r="D86" s="94"/>
      <c r="E86" s="94"/>
      <c r="F86" s="94"/>
      <c r="G86" s="94"/>
      <c r="H86" s="94"/>
      <c r="I86" s="94"/>
      <c r="J86" s="95"/>
    </row>
    <row r="87" spans="1:10" x14ac:dyDescent="0.2">
      <c r="A87" s="90"/>
      <c r="B87" s="94"/>
      <c r="C87" s="94"/>
      <c r="D87" s="94"/>
      <c r="E87" s="94"/>
      <c r="F87" s="94"/>
      <c r="G87" s="94"/>
      <c r="H87" s="94"/>
      <c r="I87" s="94"/>
      <c r="J87" s="95"/>
    </row>
    <row r="88" spans="1:10" x14ac:dyDescent="0.2">
      <c r="A88" s="90"/>
      <c r="B88" s="94"/>
      <c r="C88" s="94"/>
      <c r="D88" s="94"/>
      <c r="E88" s="94"/>
      <c r="F88" s="94"/>
      <c r="G88" s="94"/>
      <c r="H88" s="94"/>
      <c r="I88" s="94"/>
      <c r="J88" s="95"/>
    </row>
    <row r="89" spans="1:10" x14ac:dyDescent="0.2">
      <c r="A89" s="90"/>
      <c r="B89" s="94"/>
      <c r="C89" s="94"/>
      <c r="D89" s="94"/>
      <c r="E89" s="94"/>
      <c r="F89" s="94"/>
      <c r="G89" s="94"/>
      <c r="H89" s="94"/>
      <c r="I89" s="94"/>
      <c r="J89" s="95"/>
    </row>
    <row r="90" spans="1:10" x14ac:dyDescent="0.2">
      <c r="A90" s="91"/>
      <c r="B90" s="92"/>
      <c r="C90" s="92"/>
      <c r="D90" s="92"/>
      <c r="E90" s="92"/>
      <c r="F90" s="92"/>
      <c r="G90" s="92"/>
      <c r="H90" s="92"/>
      <c r="I90" s="92"/>
      <c r="J90" s="96"/>
    </row>
    <row r="91" spans="1:10" x14ac:dyDescent="0.2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0" x14ac:dyDescent="0.2">
      <c r="A92" s="88" t="s">
        <v>110</v>
      </c>
      <c r="B92" s="89"/>
      <c r="C92" s="89"/>
      <c r="D92" s="89"/>
      <c r="E92" s="89"/>
      <c r="F92" s="89"/>
      <c r="G92" s="89"/>
      <c r="H92" s="89"/>
      <c r="I92" s="89"/>
      <c r="J92" s="93"/>
    </row>
    <row r="93" spans="1:10" x14ac:dyDescent="0.2">
      <c r="A93" s="90"/>
      <c r="B93" s="94"/>
      <c r="C93" s="94"/>
      <c r="D93" s="94"/>
      <c r="E93" s="94"/>
      <c r="F93" s="94"/>
      <c r="G93" s="94"/>
      <c r="H93" s="94"/>
      <c r="I93" s="94"/>
      <c r="J93" s="95"/>
    </row>
    <row r="94" spans="1:10" x14ac:dyDescent="0.2">
      <c r="A94" s="90"/>
      <c r="B94" s="94"/>
      <c r="C94" s="94"/>
      <c r="D94" s="94"/>
      <c r="E94" s="94"/>
      <c r="F94" s="94"/>
      <c r="G94" s="94"/>
      <c r="H94" s="94"/>
      <c r="I94" s="94"/>
      <c r="J94" s="95"/>
    </row>
    <row r="95" spans="1:10" x14ac:dyDescent="0.2">
      <c r="A95" s="90"/>
      <c r="B95" s="94"/>
      <c r="C95" s="94"/>
      <c r="D95" s="94"/>
      <c r="E95" s="94"/>
      <c r="F95" s="94"/>
      <c r="G95" s="94"/>
      <c r="H95" s="94"/>
      <c r="I95" s="94"/>
      <c r="J95" s="95"/>
    </row>
    <row r="96" spans="1:10" x14ac:dyDescent="0.2">
      <c r="A96" s="90"/>
      <c r="B96" s="94"/>
      <c r="C96" s="94"/>
      <c r="D96" s="94"/>
      <c r="E96" s="94"/>
      <c r="F96" s="94"/>
      <c r="G96" s="94"/>
      <c r="H96" s="94"/>
      <c r="I96" s="94"/>
      <c r="J96" s="95"/>
    </row>
    <row r="97" spans="1:10" x14ac:dyDescent="0.2">
      <c r="A97" s="91"/>
      <c r="B97" s="92"/>
      <c r="C97" s="92"/>
      <c r="D97" s="92"/>
      <c r="E97" s="92"/>
      <c r="F97" s="92"/>
      <c r="G97" s="92"/>
      <c r="H97" s="92"/>
      <c r="I97" s="92"/>
      <c r="J97" s="96"/>
    </row>
    <row r="98" spans="1:10" x14ac:dyDescent="0.2">
      <c r="A98" s="8"/>
      <c r="B98" s="8"/>
      <c r="C98" s="8"/>
      <c r="D98" s="8"/>
      <c r="E98" s="8"/>
      <c r="F98" s="8"/>
      <c r="G98" s="8"/>
      <c r="H98" s="8"/>
      <c r="I98" s="8"/>
      <c r="J98" s="8"/>
    </row>
  </sheetData>
  <mergeCells count="51">
    <mergeCell ref="A1:H4"/>
    <mergeCell ref="I1:J1"/>
    <mergeCell ref="I2:J2"/>
    <mergeCell ref="I3:J3"/>
    <mergeCell ref="I4:J4"/>
    <mergeCell ref="G24:I24"/>
    <mergeCell ref="A6:J6"/>
    <mergeCell ref="B8:J8"/>
    <mergeCell ref="B10:C10"/>
    <mergeCell ref="I10:J10"/>
    <mergeCell ref="B12:E12"/>
    <mergeCell ref="F12:I12"/>
    <mergeCell ref="B17:I17"/>
    <mergeCell ref="B13:C13"/>
    <mergeCell ref="F13:G13"/>
    <mergeCell ref="A19:J19"/>
    <mergeCell ref="G20:I20"/>
    <mergeCell ref="G21:I21"/>
    <mergeCell ref="G22:I22"/>
    <mergeCell ref="G23:I23"/>
    <mergeCell ref="A38:B38"/>
    <mergeCell ref="A33:B33"/>
    <mergeCell ref="A30:B30"/>
    <mergeCell ref="A31:B31"/>
    <mergeCell ref="A32:B32"/>
    <mergeCell ref="C70:F70"/>
    <mergeCell ref="G30:H30"/>
    <mergeCell ref="G31:H31"/>
    <mergeCell ref="B60:E60"/>
    <mergeCell ref="F60:I60"/>
    <mergeCell ref="B47:D47"/>
    <mergeCell ref="B48:D48"/>
    <mergeCell ref="B49:D49"/>
    <mergeCell ref="A56:J56"/>
    <mergeCell ref="B41:D41"/>
    <mergeCell ref="B42:D42"/>
    <mergeCell ref="B43:D43"/>
    <mergeCell ref="B44:D44"/>
    <mergeCell ref="A35:B35"/>
    <mergeCell ref="A36:B36"/>
    <mergeCell ref="A37:B37"/>
    <mergeCell ref="B61:C61"/>
    <mergeCell ref="F61:G61"/>
    <mergeCell ref="B65:I65"/>
    <mergeCell ref="C58:F58"/>
    <mergeCell ref="A68:J68"/>
    <mergeCell ref="B72:E72"/>
    <mergeCell ref="F72:I72"/>
    <mergeCell ref="B73:C73"/>
    <mergeCell ref="F73:G73"/>
    <mergeCell ref="B77:I77"/>
  </mergeCells>
  <pageMargins left="0.7" right="0.7" top="0.75" bottom="0.75" header="0.3" footer="0.3"/>
  <pageSetup paperSize="9" orientation="portrait" horizontalDpi="0" verticalDpi="0"/>
  <ignoredErrors>
    <ignoredError sqref="C15 G15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0A45-B885-0049-B3D7-AC668D80377B}">
  <dimension ref="A1:F24"/>
  <sheetViews>
    <sheetView zoomScale="150" workbookViewId="0">
      <selection activeCell="E11" sqref="E11"/>
    </sheetView>
  </sheetViews>
  <sheetFormatPr baseColWidth="10" defaultRowHeight="16" x14ac:dyDescent="0.2"/>
  <cols>
    <col min="1" max="2" width="10.83203125" style="8"/>
    <col min="3" max="3" width="9.83203125" style="8" bestFit="1" customWidth="1"/>
    <col min="4" max="4" width="10.33203125" style="8" bestFit="1" customWidth="1"/>
    <col min="5" max="5" width="15.33203125" style="8" bestFit="1" customWidth="1"/>
    <col min="6" max="6" width="10.33203125" style="8" bestFit="1" customWidth="1"/>
    <col min="7" max="16384" width="10.83203125" style="8"/>
  </cols>
  <sheetData>
    <row r="1" spans="1:6" x14ac:dyDescent="0.2">
      <c r="A1" s="68" t="s">
        <v>87</v>
      </c>
      <c r="B1" s="69">
        <f>'Fiche de production'!C35</f>
        <v>5200.96</v>
      </c>
    </row>
    <row r="3" spans="1:6" x14ac:dyDescent="0.2">
      <c r="C3" s="66" t="s">
        <v>89</v>
      </c>
      <c r="D3" s="66" t="s">
        <v>90</v>
      </c>
      <c r="E3" s="66" t="s">
        <v>37</v>
      </c>
      <c r="F3" s="66" t="s">
        <v>38</v>
      </c>
    </row>
    <row r="4" spans="1:6" x14ac:dyDescent="0.2">
      <c r="B4" s="65" t="s">
        <v>85</v>
      </c>
      <c r="C4" s="67">
        <f>B12*B1</f>
        <v>57.210559999999994</v>
      </c>
      <c r="D4" s="67">
        <f>B1*B13</f>
        <v>41.607680000000002</v>
      </c>
      <c r="E4" s="67">
        <f>B14*B1</f>
        <v>20.803840000000001</v>
      </c>
      <c r="F4" s="67">
        <f>B15*B1</f>
        <v>41.607680000000002</v>
      </c>
    </row>
    <row r="5" spans="1:6" x14ac:dyDescent="0.2">
      <c r="B5" s="65" t="s">
        <v>86</v>
      </c>
      <c r="C5" s="67">
        <f>B1*B21</f>
        <v>182.03360000000001</v>
      </c>
      <c r="D5" s="67">
        <f>B1*B22</f>
        <v>83.215360000000004</v>
      </c>
      <c r="E5" s="67">
        <f>B23*B1</f>
        <v>20.803840000000001</v>
      </c>
      <c r="F5" s="67">
        <f>B24*B1</f>
        <v>31.205760000000001</v>
      </c>
    </row>
    <row r="10" spans="1:6" ht="17" thickBot="1" x14ac:dyDescent="0.25">
      <c r="A10" s="65" t="s">
        <v>88</v>
      </c>
      <c r="B10" s="65"/>
    </row>
    <row r="11" spans="1:6" x14ac:dyDescent="0.2">
      <c r="A11" s="70"/>
      <c r="B11" s="71" t="s">
        <v>80</v>
      </c>
    </row>
    <row r="12" spans="1:6" x14ac:dyDescent="0.2">
      <c r="A12" s="72" t="s">
        <v>81</v>
      </c>
      <c r="B12" s="73">
        <v>1.0999999999999999E-2</v>
      </c>
    </row>
    <row r="13" spans="1:6" x14ac:dyDescent="0.2">
      <c r="A13" s="72" t="s">
        <v>82</v>
      </c>
      <c r="B13" s="73">
        <v>8.0000000000000002E-3</v>
      </c>
    </row>
    <row r="14" spans="1:6" x14ac:dyDescent="0.2">
      <c r="A14" s="72" t="s">
        <v>83</v>
      </c>
      <c r="B14" s="73">
        <v>4.0000000000000001E-3</v>
      </c>
    </row>
    <row r="15" spans="1:6" ht="17" thickBot="1" x14ac:dyDescent="0.25">
      <c r="A15" s="74" t="s">
        <v>84</v>
      </c>
      <c r="B15" s="75">
        <v>8.0000000000000002E-3</v>
      </c>
    </row>
    <row r="16" spans="1:6" x14ac:dyDescent="0.2">
      <c r="A16" s="65"/>
      <c r="B16" s="65"/>
    </row>
    <row r="17" spans="1:2" x14ac:dyDescent="0.2">
      <c r="A17" s="65"/>
      <c r="B17" s="65"/>
    </row>
    <row r="18" spans="1:2" x14ac:dyDescent="0.2">
      <c r="A18" s="65"/>
      <c r="B18" s="65"/>
    </row>
    <row r="19" spans="1:2" ht="17" thickBot="1" x14ac:dyDescent="0.25">
      <c r="A19" s="65" t="s">
        <v>79</v>
      </c>
      <c r="B19" s="65"/>
    </row>
    <row r="20" spans="1:2" x14ac:dyDescent="0.2">
      <c r="A20" s="70"/>
      <c r="B20" s="71" t="s">
        <v>80</v>
      </c>
    </row>
    <row r="21" spans="1:2" x14ac:dyDescent="0.2">
      <c r="A21" s="72" t="s">
        <v>81</v>
      </c>
      <c r="B21" s="73">
        <v>3.5000000000000003E-2</v>
      </c>
    </row>
    <row r="22" spans="1:2" x14ac:dyDescent="0.2">
      <c r="A22" s="72" t="s">
        <v>82</v>
      </c>
      <c r="B22" s="73">
        <v>1.6E-2</v>
      </c>
    </row>
    <row r="23" spans="1:2" x14ac:dyDescent="0.2">
      <c r="A23" s="72" t="s">
        <v>83</v>
      </c>
      <c r="B23" s="73">
        <v>4.0000000000000001E-3</v>
      </c>
    </row>
    <row r="24" spans="1:2" ht="17" thickBot="1" x14ac:dyDescent="0.25">
      <c r="A24" s="74" t="s">
        <v>84</v>
      </c>
      <c r="B24" s="75">
        <v>6.0000000000000001E-3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EFF0-8905-AB42-B42B-7060B7627E83}">
  <dimension ref="A1:F11"/>
  <sheetViews>
    <sheetView workbookViewId="0">
      <selection activeCell="F9" sqref="F9"/>
    </sheetView>
  </sheetViews>
  <sheetFormatPr baseColWidth="10" defaultRowHeight="16" x14ac:dyDescent="0.2"/>
  <cols>
    <col min="1" max="1" width="19.6640625" bestFit="1" customWidth="1"/>
    <col min="2" max="2" width="19.6640625" customWidth="1"/>
    <col min="3" max="3" width="11.83203125" customWidth="1"/>
    <col min="5" max="5" width="18.83203125" bestFit="1" customWidth="1"/>
    <col min="6" max="6" width="7.1640625" bestFit="1" customWidth="1"/>
  </cols>
  <sheetData>
    <row r="1" spans="1:6" x14ac:dyDescent="0.2">
      <c r="A1" t="s">
        <v>50</v>
      </c>
      <c r="B1" t="s">
        <v>91</v>
      </c>
      <c r="C1" t="s">
        <v>51</v>
      </c>
      <c r="E1" t="s">
        <v>52</v>
      </c>
      <c r="F1" s="56" t="s">
        <v>53</v>
      </c>
    </row>
    <row r="2" spans="1:6" x14ac:dyDescent="0.2">
      <c r="A2" s="56" t="s">
        <v>54</v>
      </c>
      <c r="B2" s="56" t="s">
        <v>86</v>
      </c>
      <c r="C2" s="56">
        <v>365</v>
      </c>
      <c r="E2" s="57" t="s">
        <v>54</v>
      </c>
      <c r="F2" s="56">
        <v>4.0000000000000001E-3</v>
      </c>
    </row>
    <row r="3" spans="1:6" x14ac:dyDescent="0.2">
      <c r="A3" s="56" t="s">
        <v>55</v>
      </c>
      <c r="B3" s="56" t="s">
        <v>86</v>
      </c>
      <c r="C3" s="56">
        <v>365</v>
      </c>
      <c r="E3" s="58" t="s">
        <v>55</v>
      </c>
      <c r="F3" s="56">
        <v>8.0000000000000002E-3</v>
      </c>
    </row>
    <row r="4" spans="1:6" x14ac:dyDescent="0.2">
      <c r="A4" s="56" t="s">
        <v>56</v>
      </c>
      <c r="B4" s="56" t="s">
        <v>86</v>
      </c>
      <c r="C4" s="56">
        <v>365</v>
      </c>
      <c r="E4" s="57" t="s">
        <v>56</v>
      </c>
      <c r="F4" s="56">
        <v>2.4E-2</v>
      </c>
    </row>
    <row r="5" spans="1:6" x14ac:dyDescent="0.2">
      <c r="A5" s="56" t="s">
        <v>57</v>
      </c>
      <c r="B5" s="56" t="s">
        <v>86</v>
      </c>
      <c r="C5" s="56">
        <v>365</v>
      </c>
      <c r="E5" s="58" t="s">
        <v>57</v>
      </c>
      <c r="F5" s="56">
        <f>0.08+0.0012+0.004</f>
        <v>8.5200000000000012E-2</v>
      </c>
    </row>
    <row r="6" spans="1:6" x14ac:dyDescent="0.2">
      <c r="A6" s="56" t="s">
        <v>58</v>
      </c>
      <c r="B6" s="56" t="s">
        <v>86</v>
      </c>
      <c r="C6" s="56">
        <v>365</v>
      </c>
      <c r="E6" s="57" t="s">
        <v>58</v>
      </c>
      <c r="F6" s="56">
        <v>3.4000000000000002E-2</v>
      </c>
    </row>
    <row r="7" spans="1:6" x14ac:dyDescent="0.2">
      <c r="A7" s="56" t="s">
        <v>59</v>
      </c>
      <c r="B7" s="56" t="s">
        <v>92</v>
      </c>
      <c r="C7" s="56">
        <v>365</v>
      </c>
      <c r="E7" s="58" t="s">
        <v>59</v>
      </c>
      <c r="F7" s="56">
        <v>4.7000000000000002E-3</v>
      </c>
    </row>
    <row r="8" spans="1:6" x14ac:dyDescent="0.2">
      <c r="A8" s="56" t="s">
        <v>60</v>
      </c>
      <c r="B8" s="56" t="s">
        <v>92</v>
      </c>
      <c r="C8" s="56">
        <v>365</v>
      </c>
      <c r="E8" s="57" t="s">
        <v>60</v>
      </c>
      <c r="F8" s="56">
        <v>7.0000000000000001E-3</v>
      </c>
    </row>
    <row r="9" spans="1:6" x14ac:dyDescent="0.2">
      <c r="A9" s="58" t="s">
        <v>61</v>
      </c>
      <c r="B9" s="76" t="s">
        <v>92</v>
      </c>
      <c r="C9" s="56">
        <v>365</v>
      </c>
      <c r="E9" s="58" t="s">
        <v>61</v>
      </c>
      <c r="F9" s="56">
        <v>0</v>
      </c>
    </row>
    <row r="10" spans="1:6" x14ac:dyDescent="0.2">
      <c r="A10" s="56" t="s">
        <v>62</v>
      </c>
      <c r="B10" s="56" t="s">
        <v>86</v>
      </c>
      <c r="C10" s="56">
        <v>365</v>
      </c>
      <c r="E10" s="57" t="s">
        <v>62</v>
      </c>
      <c r="F10" s="56">
        <v>1.5800000000000002E-2</v>
      </c>
    </row>
    <row r="11" spans="1:6" x14ac:dyDescent="0.2">
      <c r="A11" s="56" t="s">
        <v>63</v>
      </c>
      <c r="B11" s="56"/>
      <c r="C11" s="56">
        <v>365</v>
      </c>
    </row>
  </sheetData>
  <phoneticPr fontId="2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E216-5E19-9445-85E1-66BA8BE636C5}">
  <dimension ref="A1:J43"/>
  <sheetViews>
    <sheetView workbookViewId="0">
      <selection activeCell="G17" sqref="G17"/>
    </sheetView>
  </sheetViews>
  <sheetFormatPr baseColWidth="10" defaultRowHeight="15" x14ac:dyDescent="0.2"/>
  <cols>
    <col min="1" max="1" width="11.6640625" style="61" bestFit="1" customWidth="1"/>
    <col min="2" max="2" width="10.83203125" style="61"/>
    <col min="3" max="3" width="13.83203125" style="61" bestFit="1" customWidth="1"/>
    <col min="4" max="5" width="10.83203125" style="61"/>
    <col min="6" max="6" width="33.83203125" style="61" bestFit="1" customWidth="1"/>
    <col min="7" max="7" width="13.6640625" style="61" bestFit="1" customWidth="1"/>
    <col min="8" max="8" width="10.83203125" style="61"/>
    <col min="9" max="9" width="33.83203125" style="61" bestFit="1" customWidth="1"/>
    <col min="10" max="16384" width="10.83203125" style="61"/>
  </cols>
  <sheetData>
    <row r="1" spans="1:10" x14ac:dyDescent="0.2">
      <c r="A1" s="60" t="s">
        <v>66</v>
      </c>
      <c r="B1" s="60" t="s">
        <v>67</v>
      </c>
      <c r="C1" s="60" t="s">
        <v>68</v>
      </c>
      <c r="D1" s="60" t="s">
        <v>69</v>
      </c>
      <c r="F1" s="60" t="s">
        <v>77</v>
      </c>
      <c r="G1" s="60">
        <f>'Fiche de production'!C35</f>
        <v>5200.96</v>
      </c>
      <c r="I1" s="60"/>
      <c r="J1" s="60"/>
    </row>
    <row r="2" spans="1:10" x14ac:dyDescent="0.2">
      <c r="A2" s="62">
        <v>0</v>
      </c>
      <c r="B2" s="63">
        <v>0</v>
      </c>
      <c r="C2" s="61">
        <v>0</v>
      </c>
      <c r="F2" s="61" t="s">
        <v>71</v>
      </c>
      <c r="G2" s="62">
        <f t="array" ref="G2">MAX(IF(A:A&lt;=G1,A:A))</f>
        <v>5200</v>
      </c>
      <c r="J2" s="62"/>
    </row>
    <row r="3" spans="1:10" x14ac:dyDescent="0.2">
      <c r="A3" s="62">
        <v>100</v>
      </c>
      <c r="B3" s="63">
        <v>6.5</v>
      </c>
      <c r="C3" s="61">
        <f t="shared" ref="C3:D13" si="0">A3-A2</f>
        <v>100</v>
      </c>
      <c r="D3" s="61">
        <f t="shared" si="0"/>
        <v>6.5</v>
      </c>
      <c r="F3" s="61" t="s">
        <v>72</v>
      </c>
      <c r="G3" s="62">
        <f t="array" ref="G3">MIN(IF(A:A&gt;=G1,A:A))</f>
        <v>5250</v>
      </c>
      <c r="J3" s="62"/>
    </row>
    <row r="4" spans="1:10" x14ac:dyDescent="0.2">
      <c r="A4" s="62">
        <v>150</v>
      </c>
      <c r="B4" s="63">
        <v>10</v>
      </c>
      <c r="C4" s="61">
        <f t="shared" si="0"/>
        <v>50</v>
      </c>
      <c r="D4" s="61">
        <f t="shared" si="0"/>
        <v>3.5</v>
      </c>
      <c r="F4" s="61" t="s">
        <v>73</v>
      </c>
      <c r="G4" s="62">
        <f>_xlfn.XLOOKUP(G2,A:A,B:B)</f>
        <v>268.89999999999998</v>
      </c>
      <c r="J4" s="62"/>
    </row>
    <row r="5" spans="1:10" x14ac:dyDescent="0.2">
      <c r="A5" s="62">
        <v>200</v>
      </c>
      <c r="B5" s="63">
        <v>13.3</v>
      </c>
      <c r="C5" s="61">
        <f t="shared" si="0"/>
        <v>50</v>
      </c>
      <c r="D5" s="61">
        <f t="shared" si="0"/>
        <v>3.3000000000000007</v>
      </c>
      <c r="F5" s="61" t="s">
        <v>74</v>
      </c>
      <c r="G5" s="62">
        <f>_xlfn.XLOOKUP(G3,A:A,B:B)</f>
        <v>273.89999999999998</v>
      </c>
      <c r="J5" s="62"/>
    </row>
    <row r="6" spans="1:10" x14ac:dyDescent="0.2">
      <c r="A6" s="62">
        <v>250</v>
      </c>
      <c r="B6" s="63">
        <v>16.2</v>
      </c>
      <c r="C6" s="61">
        <f t="shared" si="0"/>
        <v>50</v>
      </c>
      <c r="D6" s="61">
        <f t="shared" si="0"/>
        <v>2.8999999999999986</v>
      </c>
      <c r="F6" s="60" t="s">
        <v>75</v>
      </c>
      <c r="G6" s="62">
        <f>G4+(G1-G2)*(G5-G4)/(G3-G2)</f>
        <v>268.99599999999998</v>
      </c>
      <c r="I6" s="60"/>
    </row>
    <row r="7" spans="1:10" x14ac:dyDescent="0.2">
      <c r="A7" s="62">
        <v>300.5</v>
      </c>
      <c r="B7" s="63">
        <v>19</v>
      </c>
      <c r="C7" s="61">
        <v>50</v>
      </c>
      <c r="D7" s="61">
        <f t="shared" si="0"/>
        <v>2.8000000000000007</v>
      </c>
    </row>
    <row r="8" spans="1:10" x14ac:dyDescent="0.2">
      <c r="A8" s="62">
        <v>350.5</v>
      </c>
      <c r="B8" s="63">
        <v>21.7</v>
      </c>
      <c r="C8" s="61">
        <f t="shared" ref="C8:D29" si="1">A8-A7</f>
        <v>50</v>
      </c>
      <c r="D8" s="61">
        <f t="shared" si="0"/>
        <v>2.6999999999999993</v>
      </c>
      <c r="F8" s="60" t="s">
        <v>70</v>
      </c>
      <c r="G8" s="60">
        <f>'Fiche de production'!B43</f>
        <v>3125.3990400000002</v>
      </c>
    </row>
    <row r="9" spans="1:10" x14ac:dyDescent="0.2">
      <c r="A9" s="62">
        <v>400.5</v>
      </c>
      <c r="B9" s="63">
        <v>24.3</v>
      </c>
      <c r="C9" s="61">
        <f t="shared" si="1"/>
        <v>50</v>
      </c>
      <c r="D9" s="61">
        <f t="shared" si="0"/>
        <v>2.6000000000000014</v>
      </c>
      <c r="F9" s="61" t="s">
        <v>71</v>
      </c>
      <c r="G9" s="62">
        <f t="array" ref="G9">MAX(IF(A:A&lt;=G8,A:A))</f>
        <v>3000</v>
      </c>
      <c r="I9" s="60"/>
      <c r="J9" s="60"/>
    </row>
    <row r="10" spans="1:10" x14ac:dyDescent="0.2">
      <c r="A10" s="62">
        <v>451.5</v>
      </c>
      <c r="B10" s="63">
        <v>26.9</v>
      </c>
      <c r="C10" s="61">
        <f t="shared" si="1"/>
        <v>51</v>
      </c>
      <c r="D10" s="61">
        <f t="shared" si="0"/>
        <v>2.5999999999999979</v>
      </c>
      <c r="F10" s="61" t="s">
        <v>72</v>
      </c>
      <c r="G10" s="62">
        <f t="array" ref="G10">MIN(IF(A:A&gt;=G8,A:A))</f>
        <v>3250</v>
      </c>
      <c r="J10" s="64"/>
    </row>
    <row r="11" spans="1:10" x14ac:dyDescent="0.2">
      <c r="A11" s="62">
        <v>501.5</v>
      </c>
      <c r="B11" s="63">
        <v>29.4</v>
      </c>
      <c r="C11" s="61">
        <f t="shared" si="1"/>
        <v>50</v>
      </c>
      <c r="D11" s="61">
        <f t="shared" si="0"/>
        <v>2.5</v>
      </c>
      <c r="F11" s="61" t="s">
        <v>73</v>
      </c>
      <c r="G11" s="62">
        <f>_xlfn.XLOOKUP(G9,A:A,B:B)</f>
        <v>154.5</v>
      </c>
      <c r="J11" s="64"/>
    </row>
    <row r="12" spans="1:10" x14ac:dyDescent="0.2">
      <c r="A12" s="62">
        <v>551.5</v>
      </c>
      <c r="B12" s="63">
        <v>32</v>
      </c>
      <c r="C12" s="61">
        <f t="shared" si="1"/>
        <v>50</v>
      </c>
      <c r="D12" s="61">
        <f t="shared" si="0"/>
        <v>2.6000000000000014</v>
      </c>
      <c r="F12" s="61" t="s">
        <v>74</v>
      </c>
      <c r="G12" s="62">
        <f>_xlfn.XLOOKUP(G10,A:A,B:B)</f>
        <v>167</v>
      </c>
      <c r="J12" s="64"/>
    </row>
    <row r="13" spans="1:10" x14ac:dyDescent="0.2">
      <c r="A13" s="62">
        <v>600</v>
      </c>
      <c r="B13" s="63">
        <v>34.5</v>
      </c>
      <c r="C13" s="61">
        <f t="shared" si="1"/>
        <v>48.5</v>
      </c>
      <c r="D13" s="61">
        <f t="shared" si="0"/>
        <v>2.5</v>
      </c>
      <c r="F13" s="60" t="s">
        <v>75</v>
      </c>
      <c r="G13" s="62">
        <f>IFERROR((G11+(G8-G9)*(G12-G11)/(G10-G9)),0)</f>
        <v>160.76995200000002</v>
      </c>
      <c r="J13" s="62"/>
    </row>
    <row r="14" spans="1:10" x14ac:dyDescent="0.2">
      <c r="A14" s="62">
        <v>750</v>
      </c>
      <c r="B14" s="63">
        <f>B13+D14</f>
        <v>42</v>
      </c>
      <c r="C14" s="61">
        <f t="shared" si="1"/>
        <v>150</v>
      </c>
      <c r="D14" s="61">
        <v>7.5</v>
      </c>
      <c r="I14" s="60"/>
      <c r="J14" s="64"/>
    </row>
    <row r="15" spans="1:10" x14ac:dyDescent="0.2">
      <c r="A15" s="62">
        <v>1000</v>
      </c>
      <c r="B15" s="63">
        <f>B14+D15</f>
        <v>54.5</v>
      </c>
      <c r="C15" s="61">
        <f t="shared" si="1"/>
        <v>250</v>
      </c>
      <c r="D15" s="61">
        <v>12.5</v>
      </c>
    </row>
    <row r="16" spans="1:10" x14ac:dyDescent="0.2">
      <c r="A16" s="62">
        <v>1250</v>
      </c>
      <c r="B16" s="63">
        <f t="shared" ref="B16:B29" si="2">B15+50/4</f>
        <v>67</v>
      </c>
      <c r="C16" s="61">
        <f t="shared" si="1"/>
        <v>250</v>
      </c>
      <c r="D16" s="63">
        <f t="shared" si="1"/>
        <v>12.5</v>
      </c>
      <c r="F16" s="60" t="s">
        <v>76</v>
      </c>
      <c r="G16" s="60">
        <f>'Fiche de production'!B48</f>
        <v>4925.7830400000003</v>
      </c>
    </row>
    <row r="17" spans="1:7" x14ac:dyDescent="0.2">
      <c r="A17" s="62">
        <v>1500</v>
      </c>
      <c r="B17" s="63">
        <f t="shared" si="2"/>
        <v>79.5</v>
      </c>
      <c r="C17" s="61">
        <f t="shared" si="1"/>
        <v>250</v>
      </c>
      <c r="D17" s="63">
        <f t="shared" si="1"/>
        <v>12.5</v>
      </c>
      <c r="F17" s="61" t="s">
        <v>71</v>
      </c>
      <c r="G17" s="62">
        <f t="array" ref="G17">MAX(IF(A:A&lt;=G16,A:A))</f>
        <v>4899.5</v>
      </c>
    </row>
    <row r="18" spans="1:7" x14ac:dyDescent="0.2">
      <c r="A18" s="62">
        <v>1750</v>
      </c>
      <c r="B18" s="63">
        <f t="shared" si="2"/>
        <v>92</v>
      </c>
      <c r="C18" s="61">
        <f t="shared" si="1"/>
        <v>250</v>
      </c>
      <c r="D18" s="63">
        <f t="shared" si="1"/>
        <v>12.5</v>
      </c>
      <c r="F18" s="61" t="s">
        <v>72</v>
      </c>
      <c r="G18" s="62">
        <f t="array" ref="G18">MIN(IF(A:A&gt;=G16,A:A))</f>
        <v>4950</v>
      </c>
    </row>
    <row r="19" spans="1:7" x14ac:dyDescent="0.2">
      <c r="A19" s="62">
        <v>2000</v>
      </c>
      <c r="B19" s="63">
        <f t="shared" si="2"/>
        <v>104.5</v>
      </c>
      <c r="C19" s="61">
        <f t="shared" si="1"/>
        <v>250</v>
      </c>
      <c r="D19" s="63">
        <f t="shared" si="1"/>
        <v>12.5</v>
      </c>
      <c r="F19" s="61" t="s">
        <v>73</v>
      </c>
      <c r="G19" s="62">
        <f>_xlfn.XLOOKUP(G17,A:A,B:B)</f>
        <v>249.99999999999997</v>
      </c>
    </row>
    <row r="20" spans="1:7" x14ac:dyDescent="0.2">
      <c r="A20" s="62">
        <v>2250</v>
      </c>
      <c r="B20" s="63">
        <f t="shared" si="2"/>
        <v>117</v>
      </c>
      <c r="C20" s="61">
        <f t="shared" si="1"/>
        <v>250</v>
      </c>
      <c r="D20" s="63">
        <f t="shared" si="1"/>
        <v>12.5</v>
      </c>
      <c r="F20" s="61" t="s">
        <v>74</v>
      </c>
      <c r="G20" s="62">
        <f>_xlfn.XLOOKUP(G18,A:A,B:B)</f>
        <v>252.79999999999998</v>
      </c>
    </row>
    <row r="21" spans="1:7" x14ac:dyDescent="0.2">
      <c r="A21" s="62">
        <v>2500</v>
      </c>
      <c r="B21" s="63">
        <f t="shared" si="2"/>
        <v>129.5</v>
      </c>
      <c r="C21" s="61">
        <f t="shared" si="1"/>
        <v>250</v>
      </c>
      <c r="D21" s="63">
        <f t="shared" si="1"/>
        <v>12.5</v>
      </c>
      <c r="F21" s="60" t="s">
        <v>75</v>
      </c>
      <c r="G21" s="62">
        <f>G19+(G16-G17)*(G20-G19)/(G18-G17)</f>
        <v>251.45727746534652</v>
      </c>
    </row>
    <row r="22" spans="1:7" x14ac:dyDescent="0.2">
      <c r="A22" s="62">
        <v>2750</v>
      </c>
      <c r="B22" s="63">
        <f t="shared" si="2"/>
        <v>142</v>
      </c>
      <c r="C22" s="61">
        <f t="shared" si="1"/>
        <v>250</v>
      </c>
      <c r="D22" s="63">
        <f t="shared" si="1"/>
        <v>12.5</v>
      </c>
    </row>
    <row r="23" spans="1:7" x14ac:dyDescent="0.2">
      <c r="A23" s="62">
        <v>3000</v>
      </c>
      <c r="B23" s="63">
        <f t="shared" si="2"/>
        <v>154.5</v>
      </c>
      <c r="C23" s="61">
        <f t="shared" si="1"/>
        <v>250</v>
      </c>
      <c r="D23" s="63">
        <f t="shared" si="1"/>
        <v>12.5</v>
      </c>
    </row>
    <row r="24" spans="1:7" x14ac:dyDescent="0.2">
      <c r="A24" s="62">
        <v>3250</v>
      </c>
      <c r="B24" s="63">
        <f t="shared" si="2"/>
        <v>167</v>
      </c>
      <c r="C24" s="61">
        <f t="shared" si="1"/>
        <v>250</v>
      </c>
      <c r="D24" s="63">
        <f t="shared" si="1"/>
        <v>12.5</v>
      </c>
    </row>
    <row r="25" spans="1:7" x14ac:dyDescent="0.2">
      <c r="A25" s="62">
        <v>3500</v>
      </c>
      <c r="B25" s="63">
        <f t="shared" si="2"/>
        <v>179.5</v>
      </c>
      <c r="C25" s="61">
        <f t="shared" si="1"/>
        <v>250</v>
      </c>
      <c r="D25" s="63">
        <f t="shared" si="1"/>
        <v>12.5</v>
      </c>
    </row>
    <row r="26" spans="1:7" x14ac:dyDescent="0.2">
      <c r="A26" s="62">
        <v>3750</v>
      </c>
      <c r="B26" s="63">
        <f t="shared" si="2"/>
        <v>192</v>
      </c>
      <c r="C26" s="61">
        <f t="shared" si="1"/>
        <v>250</v>
      </c>
      <c r="D26" s="63">
        <f t="shared" si="1"/>
        <v>12.5</v>
      </c>
    </row>
    <row r="27" spans="1:7" x14ac:dyDescent="0.2">
      <c r="A27" s="62">
        <v>4000</v>
      </c>
      <c r="B27" s="63">
        <f t="shared" si="2"/>
        <v>204.5</v>
      </c>
      <c r="C27" s="61">
        <f t="shared" si="1"/>
        <v>250</v>
      </c>
      <c r="D27" s="63">
        <f t="shared" si="1"/>
        <v>12.5</v>
      </c>
    </row>
    <row r="28" spans="1:7" x14ac:dyDescent="0.2">
      <c r="A28" s="62">
        <v>4250</v>
      </c>
      <c r="B28" s="63">
        <f t="shared" si="2"/>
        <v>217</v>
      </c>
      <c r="C28" s="61">
        <f t="shared" si="1"/>
        <v>250</v>
      </c>
      <c r="D28" s="63">
        <f t="shared" si="1"/>
        <v>12.5</v>
      </c>
    </row>
    <row r="29" spans="1:7" x14ac:dyDescent="0.2">
      <c r="A29" s="62">
        <v>4500</v>
      </c>
      <c r="B29" s="63">
        <f t="shared" si="2"/>
        <v>229.5</v>
      </c>
      <c r="C29" s="61">
        <f t="shared" si="1"/>
        <v>250</v>
      </c>
      <c r="D29" s="63">
        <f t="shared" si="1"/>
        <v>12.5</v>
      </c>
    </row>
    <row r="30" spans="1:7" x14ac:dyDescent="0.2">
      <c r="A30" s="62">
        <v>4600</v>
      </c>
      <c r="B30" s="63">
        <f>D30+B29</f>
        <v>234.5</v>
      </c>
      <c r="C30" s="61">
        <v>100</v>
      </c>
      <c r="D30" s="61">
        <f>100*12.5/250</f>
        <v>5</v>
      </c>
    </row>
    <row r="31" spans="1:7" x14ac:dyDescent="0.2">
      <c r="A31" s="62">
        <v>4650</v>
      </c>
      <c r="B31" s="63">
        <f t="shared" ref="B31:B40" si="3">B30+D31</f>
        <v>237</v>
      </c>
      <c r="C31" s="61">
        <f>C13</f>
        <v>48.5</v>
      </c>
      <c r="D31" s="61">
        <f>D13</f>
        <v>2.5</v>
      </c>
    </row>
    <row r="32" spans="1:7" x14ac:dyDescent="0.2">
      <c r="A32" s="62">
        <v>4700</v>
      </c>
      <c r="B32" s="63">
        <f t="shared" si="3"/>
        <v>239.6</v>
      </c>
      <c r="C32" s="61">
        <f>C12</f>
        <v>50</v>
      </c>
      <c r="D32" s="61">
        <f>D12</f>
        <v>2.6000000000000014</v>
      </c>
    </row>
    <row r="33" spans="1:4" x14ac:dyDescent="0.2">
      <c r="A33" s="62">
        <v>4750</v>
      </c>
      <c r="B33" s="63">
        <f t="shared" si="3"/>
        <v>242.1</v>
      </c>
      <c r="C33" s="61">
        <f>C11</f>
        <v>50</v>
      </c>
      <c r="D33" s="61">
        <f>D11</f>
        <v>2.5</v>
      </c>
    </row>
    <row r="34" spans="1:4" x14ac:dyDescent="0.2">
      <c r="A34" s="62">
        <v>4799.5</v>
      </c>
      <c r="B34" s="63">
        <f t="shared" si="3"/>
        <v>244.7</v>
      </c>
      <c r="C34" s="61">
        <f>C10</f>
        <v>51</v>
      </c>
      <c r="D34" s="61">
        <f>D10</f>
        <v>2.5999999999999979</v>
      </c>
    </row>
    <row r="35" spans="1:4" x14ac:dyDescent="0.2">
      <c r="A35" s="62">
        <v>4849.5</v>
      </c>
      <c r="B35" s="63">
        <f t="shared" si="3"/>
        <v>247.29999999999998</v>
      </c>
      <c r="C35" s="61">
        <f>C9</f>
        <v>50</v>
      </c>
      <c r="D35" s="61">
        <f>D9</f>
        <v>2.6000000000000014</v>
      </c>
    </row>
    <row r="36" spans="1:4" x14ac:dyDescent="0.2">
      <c r="A36" s="62">
        <v>4899.5</v>
      </c>
      <c r="B36" s="63">
        <f t="shared" si="3"/>
        <v>249.99999999999997</v>
      </c>
      <c r="C36" s="61">
        <f>C8</f>
        <v>50</v>
      </c>
      <c r="D36" s="61">
        <f>D8</f>
        <v>2.6999999999999993</v>
      </c>
    </row>
    <row r="37" spans="1:4" x14ac:dyDescent="0.2">
      <c r="A37" s="62">
        <v>4950</v>
      </c>
      <c r="B37" s="63">
        <f t="shared" si="3"/>
        <v>252.79999999999998</v>
      </c>
      <c r="C37" s="61">
        <f>C7</f>
        <v>50</v>
      </c>
      <c r="D37" s="61">
        <f>D7</f>
        <v>2.8000000000000007</v>
      </c>
    </row>
    <row r="38" spans="1:4" x14ac:dyDescent="0.2">
      <c r="A38" s="62">
        <v>5000</v>
      </c>
      <c r="B38" s="63">
        <f t="shared" si="3"/>
        <v>255.7</v>
      </c>
      <c r="C38" s="61">
        <f>C6</f>
        <v>50</v>
      </c>
      <c r="D38" s="61">
        <f>D6</f>
        <v>2.8999999999999986</v>
      </c>
    </row>
    <row r="39" spans="1:4" x14ac:dyDescent="0.2">
      <c r="A39" s="62">
        <v>5050</v>
      </c>
      <c r="B39" s="63">
        <f t="shared" si="3"/>
        <v>258.7</v>
      </c>
      <c r="C39" s="61">
        <f>C5</f>
        <v>50</v>
      </c>
      <c r="D39" s="61">
        <v>3</v>
      </c>
    </row>
    <row r="40" spans="1:4" x14ac:dyDescent="0.2">
      <c r="A40" s="62">
        <v>5100</v>
      </c>
      <c r="B40" s="63">
        <f t="shared" si="3"/>
        <v>261.89999999999998</v>
      </c>
      <c r="C40" s="61">
        <f>C4</f>
        <v>50</v>
      </c>
      <c r="D40" s="61">
        <v>3.2</v>
      </c>
    </row>
    <row r="41" spans="1:4" x14ac:dyDescent="0.2">
      <c r="A41" s="62">
        <v>5150</v>
      </c>
      <c r="B41" s="63">
        <f>B40+D41</f>
        <v>265.29999999999995</v>
      </c>
      <c r="C41" s="61">
        <v>50</v>
      </c>
      <c r="D41" s="61">
        <v>3.4</v>
      </c>
    </row>
    <row r="42" spans="1:4" x14ac:dyDescent="0.2">
      <c r="A42" s="61">
        <v>5200</v>
      </c>
      <c r="B42" s="63">
        <f>B41+D42</f>
        <v>268.89999999999998</v>
      </c>
      <c r="C42" s="61">
        <v>50</v>
      </c>
      <c r="D42" s="61">
        <v>3.6</v>
      </c>
    </row>
    <row r="43" spans="1:4" x14ac:dyDescent="0.2">
      <c r="A43" s="61">
        <v>5250</v>
      </c>
      <c r="B43" s="63">
        <f>B42+D43</f>
        <v>273.89999999999998</v>
      </c>
      <c r="C43" s="61">
        <v>50</v>
      </c>
      <c r="D43" s="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Fiche de production</vt:lpstr>
      <vt:lpstr>Recettes</vt:lpstr>
      <vt:lpstr>Data</vt:lpstr>
      <vt:lpstr>CUVE 1 et 2 Mesure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Pradignac</dc:creator>
  <cp:lastModifiedBy>Nicolas Pradignac</cp:lastModifiedBy>
  <dcterms:created xsi:type="dcterms:W3CDTF">2026-02-09T15:39:00Z</dcterms:created>
  <dcterms:modified xsi:type="dcterms:W3CDTF">2026-02-10T13:32:10Z</dcterms:modified>
</cp:coreProperties>
</file>