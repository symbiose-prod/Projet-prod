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pradignac/Desktop/"/>
    </mc:Choice>
  </mc:AlternateContent>
  <xr:revisionPtr revIDLastSave="0" documentId="13_ncr:1_{0768D4C7-DF12-BB46-8C64-C9D2ED799850}" xr6:coauthVersionLast="47" xr6:coauthVersionMax="47" xr10:uidLastSave="{00000000-0000-0000-0000-000000000000}"/>
  <bookViews>
    <workbookView xWindow="20" yWindow="500" windowWidth="27180" windowHeight="19840" xr2:uid="{0E25F3FA-30B7-4548-A2E6-27E425FF4E52}"/>
  </bookViews>
  <sheets>
    <sheet name="Fiche de production" sheetId="1" r:id="rId1"/>
    <sheet name="Recettes" sheetId="4" r:id="rId2"/>
    <sheet name="Data" sheetId="2" r:id="rId3"/>
    <sheet name="CUVE 3 et 4 Mesur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B48" i="1"/>
  <c r="B42" i="1"/>
  <c r="C35" i="1"/>
  <c r="I10" i="1"/>
  <c r="B76" i="1"/>
  <c r="C58" i="1"/>
  <c r="C69" i="1" s="1"/>
  <c r="B58" i="1"/>
  <c r="B69" i="1" s="1"/>
  <c r="I35" i="1"/>
  <c r="J35" i="1" s="1"/>
  <c r="J54" i="1"/>
  <c r="A47" i="1"/>
  <c r="F5" i="2"/>
  <c r="A41" i="1"/>
  <c r="E15" i="1"/>
  <c r="H15" i="1"/>
  <c r="G15" i="1"/>
  <c r="F15" i="1"/>
  <c r="I33" i="1" s="1"/>
  <c r="J33" i="1" s="1"/>
  <c r="D15" i="1"/>
  <c r="C15" i="1"/>
  <c r="B15" i="1"/>
  <c r="I32" i="1" l="1"/>
  <c r="J32" i="1" s="1"/>
  <c r="I31" i="1"/>
  <c r="J31" i="1" s="1"/>
  <c r="B17" i="1"/>
  <c r="B43" i="1" l="1"/>
  <c r="G8" i="3" s="1"/>
  <c r="G63" i="1" l="1"/>
  <c r="G64" i="1" s="1"/>
  <c r="E63" i="1"/>
  <c r="E64" i="1" s="1"/>
  <c r="H63" i="1"/>
  <c r="H64" i="1" s="1"/>
  <c r="F63" i="1"/>
  <c r="F64" i="1" s="1"/>
  <c r="B63" i="1"/>
  <c r="B64" i="1" s="1"/>
  <c r="C63" i="1"/>
  <c r="C64" i="1" s="1"/>
  <c r="D63" i="1"/>
  <c r="D64" i="1" s="1"/>
  <c r="G1" i="3"/>
  <c r="B1" i="4"/>
  <c r="D5" i="4" s="1"/>
  <c r="C31" i="1" s="1"/>
  <c r="G16" i="3"/>
  <c r="G18" i="3" a="1"/>
  <c r="G18" i="3" s="1"/>
  <c r="G17" i="3" a="1"/>
  <c r="G17" i="3" s="1"/>
  <c r="G10" i="3" a="1"/>
  <c r="G10" i="3" s="1"/>
  <c r="G9" i="3" a="1"/>
  <c r="G9" i="3" s="1"/>
  <c r="G2" i="3" l="1" a="1"/>
  <c r="G2" i="3" s="1"/>
  <c r="G3" i="3" a="1"/>
  <c r="G3" i="3" s="1"/>
  <c r="E5" i="4"/>
  <c r="C32" i="1" s="1"/>
  <c r="F4" i="4"/>
  <c r="C4" i="4"/>
  <c r="E4" i="4"/>
  <c r="D4" i="4"/>
  <c r="C5" i="4"/>
  <c r="C30" i="1" s="1"/>
  <c r="F5" i="4"/>
  <c r="C33" i="1" s="1"/>
  <c r="G11" i="3" l="1"/>
  <c r="G12" i="3" l="1"/>
  <c r="G13" i="3" s="1"/>
  <c r="B44" i="1" s="1"/>
  <c r="G19" i="3" l="1"/>
  <c r="G20" i="3" l="1"/>
  <c r="G21" i="3" s="1"/>
  <c r="B49" i="1" s="1"/>
  <c r="G4" i="3" l="1"/>
  <c r="G5" i="3"/>
  <c r="C36" i="1" l="1"/>
</calcChain>
</file>

<file path=xl/sharedStrings.xml><?xml version="1.0" encoding="utf-8"?>
<sst xmlns="http://schemas.openxmlformats.org/spreadsheetml/2006/main" count="189" uniqueCount="108">
  <si>
    <t>Quantité</t>
  </si>
  <si>
    <t>33 CL</t>
  </si>
  <si>
    <t>75 CL</t>
  </si>
  <si>
    <t>NIKO</t>
  </si>
  <si>
    <t>X6</t>
  </si>
  <si>
    <t>X4</t>
  </si>
  <si>
    <t>Bouteilles</t>
  </si>
  <si>
    <t>Cartons</t>
  </si>
  <si>
    <t>Volume (L)</t>
  </si>
  <si>
    <t>SYMBIOSE</t>
  </si>
  <si>
    <t>AUTRE</t>
  </si>
  <si>
    <t>X12</t>
  </si>
  <si>
    <t>Code : PROD_EN_002</t>
  </si>
  <si>
    <t>Version : 07</t>
  </si>
  <si>
    <t>Création : 20/07/2021</t>
  </si>
  <si>
    <t>Mis à jour : 14/10/2025</t>
  </si>
  <si>
    <t>Produit préparé</t>
  </si>
  <si>
    <t>Produit  :</t>
  </si>
  <si>
    <t>DDM :</t>
  </si>
  <si>
    <t>LOT</t>
  </si>
  <si>
    <t>INTER</t>
  </si>
  <si>
    <t>Fermentation</t>
  </si>
  <si>
    <t>Date</t>
  </si>
  <si>
    <t>Heure</t>
  </si>
  <si>
    <t>Brix</t>
  </si>
  <si>
    <t>PH</t>
  </si>
  <si>
    <t>°C</t>
  </si>
  <si>
    <t>Goût</t>
  </si>
  <si>
    <t>Observation</t>
  </si>
  <si>
    <t>Matricule</t>
  </si>
  <si>
    <t>OK/NOK</t>
  </si>
  <si>
    <t xml:space="preserve">Fermentation : </t>
  </si>
  <si>
    <t>Conforme</t>
  </si>
  <si>
    <t>Non conforme</t>
  </si>
  <si>
    <t>Sucre (kg)</t>
  </si>
  <si>
    <t>Figues (kg)</t>
  </si>
  <si>
    <t>Jus de Citron (kg)</t>
  </si>
  <si>
    <t>Grains (kg)</t>
  </si>
  <si>
    <t>Phase 1 : DILUTION</t>
  </si>
  <si>
    <t>Volume de remplissage :</t>
  </si>
  <si>
    <t>Niveau de liquide :</t>
  </si>
  <si>
    <t>Pression sur le bulleur :</t>
  </si>
  <si>
    <t>3 bars</t>
  </si>
  <si>
    <t>Température de cuve :</t>
  </si>
  <si>
    <t>24°C</t>
  </si>
  <si>
    <t>Phase 2 : Filtration</t>
  </si>
  <si>
    <t>Volume filtré :</t>
  </si>
  <si>
    <t>Volume final :</t>
  </si>
  <si>
    <t>Hauteur :</t>
  </si>
  <si>
    <t>Produit 1</t>
  </si>
  <si>
    <t>DDM</t>
  </si>
  <si>
    <t>Ajouts de Jus / L</t>
  </si>
  <si>
    <t>pour 1L</t>
  </si>
  <si>
    <t>K. Original</t>
  </si>
  <si>
    <t>K. Menthe - Citron Vert</t>
  </si>
  <si>
    <t>K. Gingembre</t>
  </si>
  <si>
    <t>K. Pamplemousse</t>
  </si>
  <si>
    <t>K. Mangue - Passion</t>
  </si>
  <si>
    <t>Infusion Menthe Poivrée</t>
  </si>
  <si>
    <t>Infusion Mélisse</t>
  </si>
  <si>
    <t>Infusion Zest d'agrumes</t>
  </si>
  <si>
    <t>K. Pêche</t>
  </si>
  <si>
    <t xml:space="preserve">Autre : </t>
  </si>
  <si>
    <t>Phase 2 : Remplissage</t>
  </si>
  <si>
    <t>IMPORTANT : la hauteur totale prend en compte l'ajout des jus de l'aromatisation</t>
  </si>
  <si>
    <t>Valeur recherchée Produit  Post Filtration</t>
  </si>
  <si>
    <t>Limite Basse</t>
  </si>
  <si>
    <t>Limite Haute</t>
  </si>
  <si>
    <t>Hauteur limite Basse</t>
  </si>
  <si>
    <t>Hauteur limite Haute</t>
  </si>
  <si>
    <t>HAUTEUR CIBLE</t>
  </si>
  <si>
    <t>Valeur recherchée Produit  Cuve pleine</t>
  </si>
  <si>
    <t>Volume de remplissage</t>
  </si>
  <si>
    <t>Volume total :</t>
  </si>
  <si>
    <t xml:space="preserve">Recette Kefir </t>
  </si>
  <si>
    <t>Facteur 1L</t>
  </si>
  <si>
    <t>sucre blanc</t>
  </si>
  <si>
    <t>figues</t>
  </si>
  <si>
    <t>jus citron</t>
  </si>
  <si>
    <t>grain</t>
  </si>
  <si>
    <t>Infusion</t>
  </si>
  <si>
    <t>Kéfir</t>
  </si>
  <si>
    <t>Quantité (L)</t>
  </si>
  <si>
    <t xml:space="preserve">Recette Eau </t>
  </si>
  <si>
    <t xml:space="preserve">Sucre (kg)	</t>
  </si>
  <si>
    <t xml:space="preserve">Figues (kg)	</t>
  </si>
  <si>
    <t>Type</t>
  </si>
  <si>
    <t>infusion</t>
  </si>
  <si>
    <t>Date de la production :</t>
  </si>
  <si>
    <t>Prévision de conditionnement</t>
  </si>
  <si>
    <t>Emballage</t>
  </si>
  <si>
    <t>Bavarian 33cl</t>
  </si>
  <si>
    <t>Saft 75cl</t>
  </si>
  <si>
    <t>Eau gazeuse 75cl</t>
  </si>
  <si>
    <t>Désignation</t>
  </si>
  <si>
    <t>Unité</t>
  </si>
  <si>
    <t>Palette</t>
  </si>
  <si>
    <t>Palette Europe</t>
  </si>
  <si>
    <t>Conditionnement réel</t>
  </si>
  <si>
    <t>Palettes</t>
  </si>
  <si>
    <t>Antoine</t>
  </si>
  <si>
    <t>Échantillons</t>
  </si>
  <si>
    <t>Traçabilité</t>
  </si>
  <si>
    <t>Répartition des cartons :</t>
  </si>
  <si>
    <t>Remarques</t>
  </si>
  <si>
    <t>Incidents</t>
  </si>
  <si>
    <t>Fiche de production Cuve de 7000 L</t>
  </si>
  <si>
    <t>Hauteur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</si>
</sst>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&quot; L&quot;"/>
    <numFmt numFmtId="166" formatCode="#,##0&quot; cm&quot;"/>
    <numFmt numFmtId="167" formatCode="0.00000"/>
    <numFmt numFmtId="169" formatCode="ddmmyy"/>
  </numFmts>
  <fonts count="26" x14ac:knownFonts="1">
    <font>
      <sz val="12"/>
      <color theme="1"/>
      <name val="Aptos Narrow"/>
      <family val="2"/>
      <scheme val="minor"/>
    </font>
    <font>
      <i/>
      <sz val="9"/>
      <color theme="1"/>
      <name val="Aptos Narrow"/>
      <family val="2"/>
    </font>
    <font>
      <b/>
      <sz val="9"/>
      <color theme="1"/>
      <name val="Aptos Narrow"/>
    </font>
    <font>
      <b/>
      <sz val="9"/>
      <color theme="1"/>
      <name val="Aptos Narrow"/>
      <family val="2"/>
    </font>
    <font>
      <b/>
      <sz val="11"/>
      <color theme="1"/>
      <name val="Aptos Narrow"/>
      <family val="2"/>
    </font>
    <font>
      <sz val="8"/>
      <color theme="1"/>
      <name val="Aptos Narrow"/>
      <family val="2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b/>
      <sz val="11"/>
      <name val="Aptos Narrow"/>
    </font>
    <font>
      <b/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8"/>
      <color theme="1"/>
      <name val="Aptos Narrow"/>
      <family val="2"/>
    </font>
    <font>
      <b/>
      <sz val="9"/>
      <color theme="0"/>
      <name val="Aptos Narrow"/>
      <family val="2"/>
    </font>
    <font>
      <b/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sz val="10"/>
      <color rgb="FFFF0000"/>
      <name val="Aptos Narrow"/>
      <family val="2"/>
    </font>
    <font>
      <sz val="10"/>
      <color rgb="FFFF0000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D0D0D0"/>
      </patternFill>
    </fill>
    <fill>
      <patternFill patternType="solid">
        <fgColor theme="0"/>
        <bgColor indexed="64"/>
      </patternFill>
    </fill>
    <fill>
      <patternFill patternType="solid">
        <fgColor rgb="FFFFFDE8"/>
        <bgColor indexed="64"/>
      </patternFill>
    </fill>
    <fill>
      <patternFill patternType="solid">
        <fgColor rgb="FFFFFEE9"/>
        <bgColor rgb="FFD0D0D0"/>
      </patternFill>
    </fill>
    <fill>
      <patternFill patternType="solid">
        <fgColor rgb="FFD0D0D0"/>
        <bgColor rgb="FFD0D0D0"/>
      </patternFill>
    </fill>
    <fill>
      <patternFill patternType="solid">
        <fgColor rgb="FFFFFDE8"/>
        <bgColor rgb="FF83CAEB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E6F6"/>
        <bgColor indexed="64"/>
      </patternFill>
    </fill>
    <fill>
      <patternFill patternType="solid">
        <fgColor rgb="FFC1E4F5"/>
        <bgColor rgb="FFC1E4F5"/>
      </patternFill>
    </fill>
    <fill>
      <patternFill patternType="solid">
        <fgColor theme="7" tint="0.79998168889431442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rgb="FFFF0000"/>
      </right>
      <top/>
      <bottom style="thin">
        <color theme="1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rgb="FF45B0E1"/>
      </left>
      <right style="thin">
        <color rgb="FF45B0E1"/>
      </right>
      <top style="thin">
        <color rgb="FF45B0E1"/>
      </top>
      <bottom style="thin">
        <color rgb="FF45B0E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3" fillId="0" borderId="0"/>
  </cellStyleXfs>
  <cellXfs count="162">
    <xf numFmtId="0" fontId="0" fillId="0" borderId="0" xfId="0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3" borderId="0" xfId="0" applyFill="1"/>
    <xf numFmtId="0" fontId="7" fillId="7" borderId="7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vertical="center"/>
    </xf>
    <xf numFmtId="0" fontId="1" fillId="2" borderId="15" xfId="0" applyFont="1" applyFill="1" applyBorder="1"/>
    <xf numFmtId="0" fontId="1" fillId="2" borderId="0" xfId="0" applyFont="1" applyFill="1"/>
    <xf numFmtId="0" fontId="3" fillId="0" borderId="1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7" fillId="0" borderId="29" xfId="0" applyFont="1" applyBorder="1"/>
    <xf numFmtId="0" fontId="4" fillId="0" borderId="1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7" fillId="0" borderId="23" xfId="0" applyFont="1" applyBorder="1"/>
    <xf numFmtId="0" fontId="4" fillId="0" borderId="22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4" fontId="11" fillId="4" borderId="24" xfId="0" applyNumberFormat="1" applyFont="1" applyFill="1" applyBorder="1" applyAlignment="1">
      <alignment vertical="center"/>
    </xf>
    <xf numFmtId="0" fontId="3" fillId="0" borderId="22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0" fillId="0" borderId="7" xfId="0" applyBorder="1"/>
    <xf numFmtId="0" fontId="14" fillId="3" borderId="0" xfId="0" applyFont="1" applyFill="1" applyAlignment="1">
      <alignment horizontal="left" vertical="center"/>
    </xf>
    <xf numFmtId="0" fontId="16" fillId="3" borderId="0" xfId="0" applyFont="1" applyFill="1"/>
    <xf numFmtId="0" fontId="17" fillId="3" borderId="0" xfId="0" applyFont="1" applyFill="1"/>
    <xf numFmtId="0" fontId="7" fillId="3" borderId="0" xfId="0" applyFont="1" applyFill="1"/>
    <xf numFmtId="0" fontId="18" fillId="3" borderId="14" xfId="0" applyFont="1" applyFill="1" applyBorder="1" applyAlignment="1">
      <alignment horizontal="left" vertical="center"/>
    </xf>
    <xf numFmtId="0" fontId="18" fillId="3" borderId="16" xfId="0" applyFont="1" applyFill="1" applyBorder="1" applyAlignment="1">
      <alignment vertical="center"/>
    </xf>
    <xf numFmtId="1" fontId="18" fillId="3" borderId="11" xfId="0" applyNumberFormat="1" applyFont="1" applyFill="1" applyBorder="1" applyAlignment="1">
      <alignment horizontal="center"/>
    </xf>
    <xf numFmtId="1" fontId="18" fillId="3" borderId="15" xfId="0" applyNumberFormat="1" applyFont="1" applyFill="1" applyBorder="1" applyAlignment="1">
      <alignment horizontal="center"/>
    </xf>
    <xf numFmtId="0" fontId="18" fillId="3" borderId="0" xfId="0" applyFont="1" applyFill="1" applyAlignment="1">
      <alignment horizontal="left" vertical="center"/>
    </xf>
    <xf numFmtId="0" fontId="18" fillId="3" borderId="16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/>
    </xf>
    <xf numFmtId="0" fontId="19" fillId="3" borderId="0" xfId="0" applyFont="1" applyFill="1"/>
    <xf numFmtId="0" fontId="20" fillId="3" borderId="0" xfId="0" applyFont="1" applyFill="1"/>
    <xf numFmtId="165" fontId="18" fillId="3" borderId="11" xfId="0" applyNumberFormat="1" applyFont="1" applyFill="1" applyBorder="1" applyAlignment="1">
      <alignment horizontal="center" vertical="center"/>
    </xf>
    <xf numFmtId="166" fontId="18" fillId="3" borderId="15" xfId="0" applyNumberFormat="1" applyFont="1" applyFill="1" applyBorder="1" applyAlignment="1">
      <alignment horizontal="center" vertical="center"/>
    </xf>
    <xf numFmtId="166" fontId="18" fillId="3" borderId="1" xfId="0" applyNumberFormat="1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vertical="center"/>
    </xf>
    <xf numFmtId="1" fontId="18" fillId="3" borderId="1" xfId="0" applyNumberFormat="1" applyFont="1" applyFill="1" applyBorder="1" applyAlignment="1">
      <alignment horizontal="center"/>
    </xf>
    <xf numFmtId="0" fontId="18" fillId="10" borderId="17" xfId="0" applyFont="1" applyFill="1" applyBorder="1" applyAlignment="1">
      <alignment vertical="center"/>
    </xf>
    <xf numFmtId="0" fontId="15" fillId="0" borderId="0" xfId="0" applyFont="1"/>
    <xf numFmtId="0" fontId="7" fillId="11" borderId="33" xfId="0" applyFont="1" applyFill="1" applyBorder="1"/>
    <xf numFmtId="0" fontId="7" fillId="0" borderId="33" xfId="0" applyFont="1" applyBorder="1"/>
    <xf numFmtId="0" fontId="22" fillId="3" borderId="0" xfId="0" applyFont="1" applyFill="1"/>
    <xf numFmtId="0" fontId="19" fillId="0" borderId="0" xfId="1" applyFont="1"/>
    <xf numFmtId="0" fontId="23" fillId="0" borderId="0" xfId="1"/>
    <xf numFmtId="1" fontId="23" fillId="0" borderId="0" xfId="1" applyNumberFormat="1"/>
    <xf numFmtId="164" fontId="23" fillId="0" borderId="0" xfId="1" applyNumberFormat="1"/>
    <xf numFmtId="167" fontId="23" fillId="0" borderId="0" xfId="1" applyNumberFormat="1"/>
    <xf numFmtId="0" fontId="15" fillId="3" borderId="0" xfId="1" applyFont="1" applyFill="1"/>
    <xf numFmtId="0" fontId="24" fillId="3" borderId="0" xfId="0" applyFont="1" applyFill="1" applyAlignment="1">
      <alignment horizontal="center"/>
    </xf>
    <xf numFmtId="1" fontId="0" fillId="3" borderId="0" xfId="0" applyNumberFormat="1" applyFill="1"/>
    <xf numFmtId="0" fontId="0" fillId="8" borderId="0" xfId="0" applyFill="1"/>
    <xf numFmtId="1" fontId="0" fillId="8" borderId="0" xfId="0" applyNumberFormat="1" applyFill="1"/>
    <xf numFmtId="0" fontId="15" fillId="3" borderId="34" xfId="1" applyFont="1" applyFill="1" applyBorder="1"/>
    <xf numFmtId="0" fontId="15" fillId="3" borderId="35" xfId="1" applyFont="1" applyFill="1" applyBorder="1"/>
    <xf numFmtId="0" fontId="15" fillId="3" borderId="36" xfId="1" applyFont="1" applyFill="1" applyBorder="1"/>
    <xf numFmtId="0" fontId="15" fillId="3" borderId="37" xfId="1" applyFont="1" applyFill="1" applyBorder="1"/>
    <xf numFmtId="0" fontId="15" fillId="3" borderId="38" xfId="1" applyFont="1" applyFill="1" applyBorder="1"/>
    <xf numFmtId="0" fontId="15" fillId="3" borderId="39" xfId="1" applyFont="1" applyFill="1" applyBorder="1"/>
    <xf numFmtId="0" fontId="7" fillId="0" borderId="0" xfId="0" applyFont="1"/>
    <xf numFmtId="14" fontId="16" fillId="3" borderId="0" xfId="0" applyNumberFormat="1" applyFont="1" applyFill="1"/>
    <xf numFmtId="1" fontId="18" fillId="3" borderId="18" xfId="0" applyNumberFormat="1" applyFont="1" applyFill="1" applyBorder="1" applyAlignment="1">
      <alignment horizontal="center"/>
    </xf>
    <xf numFmtId="1" fontId="18" fillId="3" borderId="8" xfId="0" applyNumberFormat="1" applyFont="1" applyFill="1" applyBorder="1" applyAlignment="1">
      <alignment horizontal="center"/>
    </xf>
    <xf numFmtId="0" fontId="18" fillId="3" borderId="9" xfId="0" applyFont="1" applyFill="1" applyBorder="1" applyAlignment="1">
      <alignment horizontal="left" vertical="center"/>
    </xf>
    <xf numFmtId="1" fontId="18" fillId="3" borderId="7" xfId="0" applyNumberFormat="1" applyFont="1" applyFill="1" applyBorder="1" applyAlignment="1">
      <alignment horizontal="center"/>
    </xf>
    <xf numFmtId="164" fontId="18" fillId="3" borderId="18" xfId="0" applyNumberFormat="1" applyFont="1" applyFill="1" applyBorder="1" applyAlignment="1">
      <alignment horizontal="center"/>
    </xf>
    <xf numFmtId="164" fontId="18" fillId="3" borderId="7" xfId="0" applyNumberFormat="1" applyFont="1" applyFill="1" applyBorder="1" applyAlignment="1">
      <alignment horizontal="center"/>
    </xf>
    <xf numFmtId="164" fontId="18" fillId="3" borderId="10" xfId="0" applyNumberFormat="1" applyFont="1" applyFill="1" applyBorder="1" applyAlignment="1">
      <alignment horizontal="center"/>
    </xf>
    <xf numFmtId="164" fontId="18" fillId="3" borderId="8" xfId="0" applyNumberFormat="1" applyFont="1" applyFill="1" applyBorder="1" applyAlignment="1">
      <alignment horizontal="center"/>
    </xf>
    <xf numFmtId="0" fontId="18" fillId="3" borderId="4" xfId="0" applyFont="1" applyFill="1" applyBorder="1" applyAlignment="1">
      <alignment horizontal="left" vertical="center"/>
    </xf>
    <xf numFmtId="0" fontId="0" fillId="12" borderId="0" xfId="0" applyFill="1"/>
    <xf numFmtId="0" fontId="4" fillId="2" borderId="17" xfId="0" applyFont="1" applyFill="1" applyBorder="1" applyAlignment="1">
      <alignment horizontal="left" vertical="top"/>
    </xf>
    <xf numFmtId="0" fontId="4" fillId="2" borderId="13" xfId="0" applyFont="1" applyFill="1" applyBorder="1" applyAlignment="1">
      <alignment horizontal="left" vertical="top"/>
    </xf>
    <xf numFmtId="0" fontId="4" fillId="2" borderId="14" xfId="0" applyFont="1" applyFill="1" applyBorder="1" applyAlignment="1">
      <alignment horizontal="left" vertical="top"/>
    </xf>
    <xf numFmtId="0" fontId="4" fillId="2" borderId="16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15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4" fontId="3" fillId="2" borderId="9" xfId="0" applyNumberFormat="1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18" fillId="3" borderId="9" xfId="0" applyFont="1" applyFill="1" applyBorder="1" applyAlignment="1">
      <alignment horizontal="left" vertical="center"/>
    </xf>
    <xf numFmtId="0" fontId="18" fillId="3" borderId="6" xfId="0" applyFont="1" applyFill="1" applyBorder="1" applyAlignment="1">
      <alignment horizontal="left" vertical="center"/>
    </xf>
    <xf numFmtId="0" fontId="18" fillId="3" borderId="17" xfId="0" applyFont="1" applyFill="1" applyBorder="1" applyAlignment="1">
      <alignment horizontal="left" vertical="center"/>
    </xf>
    <xf numFmtId="0" fontId="18" fillId="3" borderId="11" xfId="0" applyFont="1" applyFill="1" applyBorder="1" applyAlignment="1">
      <alignment horizontal="left" vertical="center"/>
    </xf>
    <xf numFmtId="0" fontId="18" fillId="10" borderId="13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165" fontId="18" fillId="3" borderId="0" xfId="0" applyNumberFormat="1" applyFont="1" applyFill="1" applyAlignment="1">
      <alignment horizontal="right" vertical="center"/>
    </xf>
    <xf numFmtId="165" fontId="18" fillId="3" borderId="15" xfId="0" applyNumberFormat="1" applyFont="1" applyFill="1" applyBorder="1" applyAlignment="1">
      <alignment horizontal="right" vertical="center"/>
    </xf>
    <xf numFmtId="166" fontId="21" fillId="3" borderId="2" xfId="0" applyNumberFormat="1" applyFont="1" applyFill="1" applyBorder="1" applyAlignment="1">
      <alignment horizontal="right" vertical="center"/>
    </xf>
    <xf numFmtId="166" fontId="21" fillId="3" borderId="1" xfId="0" applyNumberFormat="1" applyFont="1" applyFill="1" applyBorder="1" applyAlignment="1">
      <alignment horizontal="right" vertical="center"/>
    </xf>
    <xf numFmtId="165" fontId="18" fillId="3" borderId="0" xfId="0" applyNumberFormat="1" applyFont="1" applyFill="1" applyAlignment="1">
      <alignment horizontal="right"/>
    </xf>
    <xf numFmtId="165" fontId="18" fillId="3" borderId="15" xfId="0" applyNumberFormat="1" applyFont="1" applyFill="1" applyBorder="1" applyAlignment="1">
      <alignment horizontal="right"/>
    </xf>
    <xf numFmtId="166" fontId="21" fillId="3" borderId="2" xfId="0" applyNumberFormat="1" applyFont="1" applyFill="1" applyBorder="1" applyAlignment="1">
      <alignment horizontal="right"/>
    </xf>
    <xf numFmtId="166" fontId="21" fillId="3" borderId="1" xfId="0" applyNumberFormat="1" applyFont="1" applyFill="1" applyBorder="1" applyAlignment="1">
      <alignment horizontal="right"/>
    </xf>
    <xf numFmtId="0" fontId="18" fillId="3" borderId="13" xfId="0" applyFont="1" applyFill="1" applyBorder="1" applyAlignment="1">
      <alignment horizontal="left" vertical="center"/>
    </xf>
    <xf numFmtId="0" fontId="18" fillId="3" borderId="14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8" fillId="3" borderId="16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12" borderId="9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14" fontId="9" fillId="8" borderId="4" xfId="0" applyNumberFormat="1" applyFont="1" applyFill="1" applyBorder="1" applyAlignment="1">
      <alignment horizontal="center" vertical="center"/>
    </xf>
    <xf numFmtId="14" fontId="9" fillId="8" borderId="6" xfId="0" applyNumberFormat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40" xfId="0" applyFill="1" applyBorder="1"/>
    <xf numFmtId="169" fontId="9" fillId="8" borderId="4" xfId="0" applyNumberFormat="1" applyFont="1" applyFill="1" applyBorder="1" applyAlignment="1">
      <alignment horizontal="center" vertical="center"/>
    </xf>
    <xf numFmtId="169" fontId="9" fillId="8" borderId="6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19" fillId="0" borderId="0" xfId="0" applyFont="1"/>
    <xf numFmtId="1" fontId="0" fillId="0" borderId="0" xfId="0" applyNumberFormat="1"/>
  </cellXfs>
  <cellStyles count="2">
    <cellStyle name="Normal" xfId="0" builtinId="0"/>
    <cellStyle name="Normal 2" xfId="1" xr:uid="{7222F5CE-F912-A14E-885C-20BAA7A0D55B}"/>
  </cellStyles>
  <dxfs count="2"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FE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9F244-45F2-2140-B71F-EDC235690FBC}" name="Table_1" displayName="Table_1" ref="A1:C11">
  <tableColumns count="3">
    <tableColumn id="1" xr3:uid="{EA5C343B-0DD7-BB4F-BE78-C192916EE817}" name="Produit 1"/>
    <tableColumn id="3" xr3:uid="{52BA67C3-6BC4-014F-BA7B-C3E7452AB1F0}" name="Type" dataDxfId="1"/>
    <tableColumn id="2" xr3:uid="{2A8CD08F-CA83-694C-94F6-8486B80010EB}" name="DDM" dataDxfId="0"/>
  </tableColumns>
  <tableStyleInfo name="TableStyleLight2" showFirstColumn="1" showLastColumn="1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92FA-4504-2847-8060-0EEE7AA95510}">
  <dimension ref="A1:J97"/>
  <sheetViews>
    <sheetView tabSelected="1" view="pageLayout" topLeftCell="A22" zoomScale="157" zoomScaleNormal="100" zoomScalePageLayoutView="157" workbookViewId="0">
      <selection activeCell="B48" sqref="B48:D48"/>
    </sheetView>
  </sheetViews>
  <sheetFormatPr baseColWidth="10" defaultRowHeight="16" x14ac:dyDescent="0.2"/>
  <cols>
    <col min="1" max="1" width="11" customWidth="1"/>
    <col min="2" max="9" width="7.5" customWidth="1"/>
    <col min="10" max="10" width="10.5" customWidth="1"/>
  </cols>
  <sheetData>
    <row r="1" spans="1:10" x14ac:dyDescent="0.2">
      <c r="A1" s="154" t="s">
        <v>106</v>
      </c>
      <c r="B1" s="155"/>
      <c r="C1" s="155"/>
      <c r="D1" s="155"/>
      <c r="E1" s="155"/>
      <c r="F1" s="155"/>
      <c r="G1" s="155"/>
      <c r="H1" s="155"/>
      <c r="I1" s="143" t="s">
        <v>12</v>
      </c>
      <c r="J1" s="144"/>
    </row>
    <row r="2" spans="1:10" x14ac:dyDescent="0.2">
      <c r="A2" s="156"/>
      <c r="B2" s="157"/>
      <c r="C2" s="157"/>
      <c r="D2" s="157"/>
      <c r="E2" s="157"/>
      <c r="F2" s="157"/>
      <c r="G2" s="157"/>
      <c r="H2" s="157"/>
      <c r="I2" s="145" t="s">
        <v>13</v>
      </c>
      <c r="J2" s="146"/>
    </row>
    <row r="3" spans="1:10" ht="16" customHeight="1" x14ac:dyDescent="0.2">
      <c r="A3" s="156"/>
      <c r="B3" s="157"/>
      <c r="C3" s="157"/>
      <c r="D3" s="157"/>
      <c r="E3" s="157"/>
      <c r="F3" s="157"/>
      <c r="G3" s="157"/>
      <c r="H3" s="157"/>
      <c r="I3" s="147" t="s">
        <v>14</v>
      </c>
      <c r="J3" s="148"/>
    </row>
    <row r="4" spans="1:10" ht="16" customHeight="1" x14ac:dyDescent="0.2">
      <c r="A4" s="158"/>
      <c r="B4" s="159"/>
      <c r="C4" s="159"/>
      <c r="D4" s="159"/>
      <c r="E4" s="159"/>
      <c r="F4" s="159"/>
      <c r="G4" s="159"/>
      <c r="H4" s="159"/>
      <c r="I4" s="149" t="s">
        <v>15</v>
      </c>
      <c r="J4" s="150"/>
    </row>
    <row r="5" spans="1:10" ht="9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9" x14ac:dyDescent="0.25">
      <c r="A6" s="111" t="s">
        <v>16</v>
      </c>
      <c r="B6" s="112"/>
      <c r="C6" s="112"/>
      <c r="D6" s="112"/>
      <c r="E6" s="112"/>
      <c r="F6" s="112"/>
      <c r="G6" s="112"/>
      <c r="H6" s="112"/>
      <c r="I6" s="112"/>
      <c r="J6" s="113"/>
    </row>
    <row r="7" spans="1:10" ht="9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2">
      <c r="A8" s="9" t="s">
        <v>17</v>
      </c>
      <c r="B8" s="138"/>
      <c r="C8" s="139"/>
      <c r="D8" s="139"/>
      <c r="E8" s="139"/>
      <c r="F8" s="139"/>
      <c r="G8" s="139"/>
      <c r="H8" s="139"/>
      <c r="I8" s="139"/>
      <c r="J8" s="140"/>
    </row>
    <row r="9" spans="1:10" ht="9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">
      <c r="A10" s="10" t="s">
        <v>18</v>
      </c>
      <c r="B10" s="141"/>
      <c r="C10" s="142"/>
      <c r="D10" s="8"/>
      <c r="E10" s="8"/>
      <c r="F10" s="8"/>
      <c r="G10" s="8"/>
      <c r="H10" s="10" t="s">
        <v>19</v>
      </c>
      <c r="I10" s="152">
        <f>B10</f>
        <v>0</v>
      </c>
      <c r="J10" s="153"/>
    </row>
    <row r="11" spans="1:10" ht="9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">
      <c r="A12" s="11"/>
      <c r="B12" s="96" t="s">
        <v>1</v>
      </c>
      <c r="C12" s="97"/>
      <c r="D12" s="97"/>
      <c r="E12" s="98"/>
      <c r="F12" s="99" t="s">
        <v>2</v>
      </c>
      <c r="G12" s="97"/>
      <c r="H12" s="97"/>
      <c r="I12" s="100"/>
      <c r="J12" s="8"/>
    </row>
    <row r="13" spans="1:10" ht="16" customHeight="1" x14ac:dyDescent="0.2">
      <c r="A13" s="12"/>
      <c r="B13" s="101" t="s">
        <v>9</v>
      </c>
      <c r="C13" s="102"/>
      <c r="D13" s="2" t="s">
        <v>3</v>
      </c>
      <c r="E13" s="3" t="s">
        <v>20</v>
      </c>
      <c r="F13" s="103" t="s">
        <v>9</v>
      </c>
      <c r="G13" s="102"/>
      <c r="H13" s="2" t="s">
        <v>3</v>
      </c>
      <c r="I13" s="2" t="s">
        <v>10</v>
      </c>
      <c r="J13" s="8"/>
    </row>
    <row r="14" spans="1:10" ht="16" customHeight="1" x14ac:dyDescent="0.2">
      <c r="A14" s="11" t="s">
        <v>0</v>
      </c>
      <c r="B14" s="2" t="s">
        <v>11</v>
      </c>
      <c r="C14" s="2" t="s">
        <v>4</v>
      </c>
      <c r="D14" s="2" t="s">
        <v>11</v>
      </c>
      <c r="E14" s="3" t="s">
        <v>4</v>
      </c>
      <c r="F14" s="1" t="s">
        <v>4</v>
      </c>
      <c r="G14" s="2" t="s">
        <v>5</v>
      </c>
      <c r="H14" s="2" t="s">
        <v>4</v>
      </c>
      <c r="I14" s="2"/>
      <c r="J14" s="8"/>
    </row>
    <row r="15" spans="1:10" x14ac:dyDescent="0.2">
      <c r="A15" s="4" t="s">
        <v>6</v>
      </c>
      <c r="B15" s="2">
        <f>B16*12</f>
        <v>0</v>
      </c>
      <c r="C15" s="2">
        <f>C16*6</f>
        <v>0</v>
      </c>
      <c r="D15" s="2">
        <f>D16*12</f>
        <v>0</v>
      </c>
      <c r="E15" s="3">
        <f>E16*6</f>
        <v>0</v>
      </c>
      <c r="F15" s="1">
        <f>F16*6</f>
        <v>0</v>
      </c>
      <c r="G15" s="2">
        <f>G16*4</f>
        <v>0</v>
      </c>
      <c r="H15" s="2">
        <f>H16*6</f>
        <v>0</v>
      </c>
      <c r="I15" s="2"/>
      <c r="J15" s="8"/>
    </row>
    <row r="16" spans="1:10" x14ac:dyDescent="0.2">
      <c r="A16" s="4" t="s">
        <v>7</v>
      </c>
      <c r="B16" s="5"/>
      <c r="C16" s="5"/>
      <c r="D16" s="5"/>
      <c r="E16" s="6"/>
      <c r="F16" s="7"/>
      <c r="G16" s="5"/>
      <c r="H16" s="5"/>
      <c r="I16" s="5"/>
      <c r="J16" s="8"/>
    </row>
    <row r="17" spans="1:10" x14ac:dyDescent="0.2">
      <c r="A17" s="4" t="s">
        <v>8</v>
      </c>
      <c r="B17" s="107">
        <f>(SUM(B15:E15)*0.33+SUM(F15:I15)*0.75)</f>
        <v>0</v>
      </c>
      <c r="C17" s="108"/>
      <c r="D17" s="108"/>
      <c r="E17" s="108"/>
      <c r="F17" s="108"/>
      <c r="G17" s="108"/>
      <c r="H17" s="108"/>
      <c r="I17" s="109"/>
      <c r="J17" s="8"/>
    </row>
    <row r="18" spans="1:10" ht="9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9" x14ac:dyDescent="0.25">
      <c r="A19" s="111" t="s">
        <v>21</v>
      </c>
      <c r="B19" s="112"/>
      <c r="C19" s="112"/>
      <c r="D19" s="112"/>
      <c r="E19" s="112"/>
      <c r="F19" s="112"/>
      <c r="G19" s="112"/>
      <c r="H19" s="112"/>
      <c r="I19" s="112"/>
      <c r="J19" s="113"/>
    </row>
    <row r="20" spans="1:10" ht="16" customHeight="1" x14ac:dyDescent="0.2">
      <c r="A20" s="13" t="s">
        <v>22</v>
      </c>
      <c r="B20" s="13" t="s">
        <v>23</v>
      </c>
      <c r="C20" s="28" t="s">
        <v>24</v>
      </c>
      <c r="D20" s="29" t="s">
        <v>25</v>
      </c>
      <c r="E20" s="14" t="s">
        <v>26</v>
      </c>
      <c r="F20" s="15" t="s">
        <v>27</v>
      </c>
      <c r="G20" s="133" t="s">
        <v>28</v>
      </c>
      <c r="H20" s="134"/>
      <c r="I20" s="135"/>
      <c r="J20" s="23" t="s">
        <v>29</v>
      </c>
    </row>
    <row r="21" spans="1:10" x14ac:dyDescent="0.2">
      <c r="A21" s="24"/>
      <c r="B21" s="25"/>
      <c r="C21" s="26"/>
      <c r="D21" s="26"/>
      <c r="E21" s="18"/>
      <c r="F21" s="22" t="s">
        <v>30</v>
      </c>
      <c r="G21" s="136"/>
      <c r="H21" s="137"/>
      <c r="I21" s="137"/>
      <c r="J21" s="35"/>
    </row>
    <row r="22" spans="1:10" x14ac:dyDescent="0.2">
      <c r="A22" s="19"/>
      <c r="B22" s="20"/>
      <c r="C22" s="21"/>
      <c r="D22" s="21"/>
      <c r="E22" s="18"/>
      <c r="F22" s="22" t="s">
        <v>30</v>
      </c>
      <c r="G22" s="136"/>
      <c r="H22" s="137"/>
      <c r="I22" s="137"/>
      <c r="J22" s="35"/>
    </row>
    <row r="23" spans="1:10" x14ac:dyDescent="0.2">
      <c r="A23" s="16"/>
      <c r="B23" s="17"/>
      <c r="C23" s="21"/>
      <c r="D23" s="21"/>
      <c r="E23" s="31"/>
      <c r="F23" s="33" t="s">
        <v>30</v>
      </c>
      <c r="G23" s="136"/>
      <c r="H23" s="137"/>
      <c r="I23" s="137"/>
      <c r="J23" s="35"/>
    </row>
    <row r="24" spans="1:10" x14ac:dyDescent="0.2">
      <c r="A24" s="16"/>
      <c r="B24" s="27"/>
      <c r="C24" s="21"/>
      <c r="D24" s="30"/>
      <c r="E24" s="32"/>
      <c r="F24" s="34" t="s">
        <v>30</v>
      </c>
      <c r="G24" s="136"/>
      <c r="H24" s="137"/>
      <c r="I24" s="137"/>
      <c r="J24" s="35"/>
    </row>
    <row r="25" spans="1:10" ht="8" customHeight="1" thickBo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7" thickBot="1" x14ac:dyDescent="0.25">
      <c r="A26" s="36" t="s">
        <v>31</v>
      </c>
      <c r="B26" s="8"/>
      <c r="C26" s="151"/>
      <c r="D26" s="37" t="s">
        <v>32</v>
      </c>
      <c r="E26" s="8"/>
      <c r="F26" s="8"/>
      <c r="G26" s="8"/>
      <c r="H26" s="8"/>
      <c r="I26" s="8"/>
      <c r="J26" s="8"/>
    </row>
    <row r="27" spans="1:10" ht="17" thickBot="1" x14ac:dyDescent="0.25">
      <c r="A27" s="8"/>
      <c r="B27" s="8"/>
      <c r="C27" s="151"/>
      <c r="D27" s="37" t="s">
        <v>33</v>
      </c>
      <c r="E27" s="8"/>
      <c r="F27" s="8"/>
      <c r="G27" s="8"/>
      <c r="H27" s="8"/>
      <c r="I27" s="8"/>
      <c r="J27" s="8"/>
    </row>
    <row r="28" spans="1:10" ht="8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2">
      <c r="A29" s="38" t="s">
        <v>38</v>
      </c>
      <c r="B29" s="38"/>
      <c r="C29" s="38"/>
      <c r="D29" s="38"/>
      <c r="E29" s="38"/>
      <c r="F29" s="38"/>
      <c r="G29" s="38" t="s">
        <v>90</v>
      </c>
      <c r="H29" s="38"/>
      <c r="J29" s="39"/>
    </row>
    <row r="30" spans="1:10" x14ac:dyDescent="0.2">
      <c r="A30" s="116" t="s">
        <v>34</v>
      </c>
      <c r="B30" s="128"/>
      <c r="C30" s="42">
        <f>_xlfn.XLOOKUP(_xlfn.XLOOKUP(B8,Data!A:A,Data!B:B),Recettes!B:B,Recettes!C:C)</f>
        <v>0</v>
      </c>
      <c r="D30" s="8"/>
      <c r="E30" s="8"/>
      <c r="F30" s="8"/>
      <c r="G30" s="114" t="s">
        <v>94</v>
      </c>
      <c r="H30" s="115"/>
      <c r="I30" s="80" t="s">
        <v>95</v>
      </c>
      <c r="J30" s="80" t="s">
        <v>96</v>
      </c>
    </row>
    <row r="31" spans="1:10" x14ac:dyDescent="0.2">
      <c r="A31" s="129" t="s">
        <v>35</v>
      </c>
      <c r="B31" s="130"/>
      <c r="C31" s="43">
        <f>_xlfn.XLOOKUP(_xlfn.XLOOKUP(B8,Data!A:A,Data!B:B),Recettes!B:B,Recettes!D:D)</f>
        <v>0</v>
      </c>
      <c r="D31" s="47"/>
      <c r="E31" s="48"/>
      <c r="F31" s="8"/>
      <c r="G31" s="116" t="s">
        <v>91</v>
      </c>
      <c r="H31" s="117"/>
      <c r="I31" s="77">
        <f>SUM(B15:E15)</f>
        <v>0</v>
      </c>
      <c r="J31" s="83">
        <f>I31/3610</f>
        <v>0</v>
      </c>
    </row>
    <row r="32" spans="1:10" x14ac:dyDescent="0.2">
      <c r="A32" s="129" t="s">
        <v>36</v>
      </c>
      <c r="B32" s="130"/>
      <c r="C32" s="43">
        <f>_xlfn.XLOOKUP(_xlfn.XLOOKUP(B8,Data!A:A,Data!B:B),Recettes!B:B,Recettes!E:E)</f>
        <v>0</v>
      </c>
      <c r="D32" s="8"/>
      <c r="E32" s="8"/>
      <c r="F32" s="8"/>
      <c r="G32" s="40" t="s">
        <v>92</v>
      </c>
      <c r="H32" s="44"/>
      <c r="I32" s="77">
        <f>G15+H15</f>
        <v>0</v>
      </c>
      <c r="J32" s="81">
        <f>I32/1421</f>
        <v>0</v>
      </c>
    </row>
    <row r="33" spans="1:10" x14ac:dyDescent="0.2">
      <c r="A33" s="131" t="s">
        <v>37</v>
      </c>
      <c r="B33" s="132"/>
      <c r="C33" s="53">
        <f>_xlfn.XLOOKUP(_xlfn.XLOOKUP(B8,Data!A:A,Data!B:B),Recettes!B:B,Recettes!F:F)</f>
        <v>0</v>
      </c>
      <c r="D33" s="8"/>
      <c r="E33" s="8"/>
      <c r="F33" s="8"/>
      <c r="G33" s="45" t="s">
        <v>93</v>
      </c>
      <c r="H33" s="46"/>
      <c r="I33" s="78">
        <f>F15</f>
        <v>0</v>
      </c>
      <c r="J33" s="84">
        <f>I33/1421</f>
        <v>0</v>
      </c>
    </row>
    <row r="34" spans="1:10" ht="9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">
      <c r="A35" s="116" t="s">
        <v>39</v>
      </c>
      <c r="B35" s="128"/>
      <c r="C35" s="49">
        <f>B17+800</f>
        <v>800</v>
      </c>
      <c r="D35" s="8"/>
      <c r="E35" s="8"/>
      <c r="F35" s="8"/>
      <c r="G35" s="79" t="s">
        <v>97</v>
      </c>
      <c r="H35" s="85"/>
      <c r="I35" s="80">
        <f>F17</f>
        <v>0</v>
      </c>
      <c r="J35" s="82">
        <f>I35/1421</f>
        <v>0</v>
      </c>
    </row>
    <row r="36" spans="1:10" x14ac:dyDescent="0.2">
      <c r="A36" s="129" t="s">
        <v>40</v>
      </c>
      <c r="B36" s="130"/>
      <c r="C36" s="50" t="e">
        <f>'CUVE 3 et 4 Mesure'!G6</f>
        <v>#DIV/0!</v>
      </c>
      <c r="D36" s="8"/>
      <c r="E36" s="8"/>
      <c r="F36" s="8"/>
      <c r="G36" s="8"/>
      <c r="H36" s="8"/>
      <c r="I36" s="8"/>
      <c r="J36" s="8"/>
    </row>
    <row r="37" spans="1:10" x14ac:dyDescent="0.2">
      <c r="A37" s="129" t="s">
        <v>41</v>
      </c>
      <c r="B37" s="130"/>
      <c r="C37" s="50" t="s">
        <v>42</v>
      </c>
      <c r="D37" s="8"/>
      <c r="E37" s="8"/>
      <c r="F37" s="8"/>
      <c r="G37" s="8"/>
      <c r="H37" s="8"/>
      <c r="I37" s="8"/>
      <c r="J37" s="8"/>
    </row>
    <row r="38" spans="1:10" x14ac:dyDescent="0.2">
      <c r="A38" s="131" t="s">
        <v>43</v>
      </c>
      <c r="B38" s="132"/>
      <c r="C38" s="51" t="s">
        <v>44</v>
      </c>
      <c r="D38" s="8"/>
      <c r="E38" s="8"/>
      <c r="F38" s="8"/>
      <c r="G38" s="8"/>
      <c r="H38" s="8"/>
      <c r="I38" s="8"/>
      <c r="J38" s="8"/>
    </row>
    <row r="39" spans="1:10" ht="9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x14ac:dyDescent="0.2">
      <c r="A40" s="38" t="s">
        <v>45</v>
      </c>
      <c r="B40" s="39"/>
      <c r="C40" s="39"/>
      <c r="D40" s="39"/>
      <c r="E40" s="39"/>
      <c r="F40" s="39"/>
      <c r="G40" s="39"/>
      <c r="H40" s="39"/>
      <c r="I40" s="39"/>
      <c r="J40" s="8"/>
    </row>
    <row r="41" spans="1:10" x14ac:dyDescent="0.2">
      <c r="A41" s="54" t="str">
        <f>A8</f>
        <v>Produit  :</v>
      </c>
      <c r="B41" s="118"/>
      <c r="C41" s="118"/>
      <c r="D41" s="119"/>
      <c r="E41" s="8"/>
      <c r="F41" s="8"/>
      <c r="G41" s="8"/>
      <c r="H41" s="8"/>
      <c r="I41" s="8"/>
      <c r="J41" s="8"/>
    </row>
    <row r="42" spans="1:10" x14ac:dyDescent="0.2">
      <c r="A42" s="52" t="s">
        <v>46</v>
      </c>
      <c r="B42" s="124">
        <f>IF(ISNUMBER( SEARCH("Infusion",B8)), 0, (C35-400)*60%)</f>
        <v>240</v>
      </c>
      <c r="C42" s="124"/>
      <c r="D42" s="125"/>
      <c r="E42" s="8"/>
      <c r="F42" s="8"/>
      <c r="G42" s="8"/>
      <c r="H42" s="8"/>
      <c r="I42" s="8"/>
      <c r="J42" s="8"/>
    </row>
    <row r="43" spans="1:10" x14ac:dyDescent="0.2">
      <c r="A43" s="52" t="s">
        <v>47</v>
      </c>
      <c r="B43" s="124">
        <f>IF(ISNUMBER(SEARCH("infusion",B8)),0,_xlfn.XLOOKUP(B8,Data!E:E,Data!F:F)*'Fiche de production'!C35+B42)</f>
        <v>240</v>
      </c>
      <c r="C43" s="124"/>
      <c r="D43" s="125"/>
      <c r="E43" s="8"/>
      <c r="F43" s="8"/>
      <c r="G43" s="8"/>
      <c r="H43" s="8"/>
      <c r="I43" s="8"/>
      <c r="J43" s="8"/>
    </row>
    <row r="44" spans="1:10" x14ac:dyDescent="0.2">
      <c r="A44" s="41" t="s">
        <v>48</v>
      </c>
      <c r="B44" s="126">
        <f>'CUVE 3 et 4 Mesure'!G13</f>
        <v>15.52</v>
      </c>
      <c r="C44" s="126"/>
      <c r="D44" s="127"/>
      <c r="E44" s="8"/>
      <c r="F44" s="8"/>
      <c r="G44" s="8"/>
      <c r="H44" s="8"/>
      <c r="I44" s="8"/>
      <c r="J44" s="8"/>
    </row>
    <row r="45" spans="1:10" ht="8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x14ac:dyDescent="0.2">
      <c r="A46" s="38" t="s">
        <v>63</v>
      </c>
      <c r="B46" s="39"/>
      <c r="C46" s="39"/>
      <c r="D46" s="39"/>
      <c r="E46" s="8"/>
      <c r="F46" s="8"/>
      <c r="G46" s="8"/>
      <c r="H46" s="8"/>
      <c r="I46" s="8"/>
      <c r="J46" s="8"/>
    </row>
    <row r="47" spans="1:10" x14ac:dyDescent="0.2">
      <c r="A47" s="54" t="str">
        <f>A14</f>
        <v>Quantité</v>
      </c>
      <c r="B47" s="118"/>
      <c r="C47" s="118"/>
      <c r="D47" s="119"/>
      <c r="E47" s="8"/>
      <c r="F47" s="8"/>
      <c r="G47" s="8"/>
      <c r="H47" s="8"/>
      <c r="I47" s="8"/>
      <c r="J47" s="8"/>
    </row>
    <row r="48" spans="1:10" x14ac:dyDescent="0.2">
      <c r="A48" s="52" t="s">
        <v>73</v>
      </c>
      <c r="B48" s="120">
        <f>_xlfn.XLOOKUP(B8,Data!E:E,Data!F:F)*'Fiche de production'!C35+C35-400</f>
        <v>400</v>
      </c>
      <c r="C48" s="120"/>
      <c r="D48" s="121"/>
      <c r="E48" s="8"/>
      <c r="F48" s="8"/>
      <c r="G48" s="8"/>
      <c r="H48" s="8"/>
      <c r="I48" s="8"/>
      <c r="J48" s="8"/>
    </row>
    <row r="49" spans="1:10" x14ac:dyDescent="0.2">
      <c r="A49" s="41" t="s">
        <v>48</v>
      </c>
      <c r="B49" s="122" t="e">
        <f>'CUVE 3 et 4 Mesure'!G21</f>
        <v>#DIV/0!</v>
      </c>
      <c r="C49" s="122"/>
      <c r="D49" s="123"/>
      <c r="E49" s="8"/>
      <c r="F49" s="8"/>
      <c r="G49" s="8"/>
      <c r="H49" s="8"/>
      <c r="I49" s="8"/>
      <c r="J49" s="8"/>
    </row>
    <row r="50" spans="1:10" x14ac:dyDescent="0.2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x14ac:dyDescent="0.2">
      <c r="A51" s="58" t="s">
        <v>64</v>
      </c>
      <c r="B51" s="8"/>
      <c r="C51" s="8"/>
      <c r="D51" s="8"/>
      <c r="E51" s="8"/>
      <c r="F51" s="8"/>
      <c r="G51" s="8"/>
      <c r="H51" s="8"/>
      <c r="I51" s="8"/>
      <c r="J51" s="8"/>
    </row>
    <row r="52" spans="1:10" x14ac:dyDescent="0.2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x14ac:dyDescent="0.2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x14ac:dyDescent="0.2">
      <c r="A54" s="8"/>
      <c r="B54" s="8"/>
      <c r="C54" s="8"/>
      <c r="D54" s="8"/>
      <c r="E54" s="8"/>
      <c r="F54" s="8"/>
      <c r="G54" s="37" t="s">
        <v>88</v>
      </c>
      <c r="H54" s="8"/>
      <c r="I54" s="8"/>
      <c r="J54" s="76">
        <f>A21</f>
        <v>0</v>
      </c>
    </row>
    <row r="55" spans="1:10" x14ac:dyDescent="0.2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9" x14ac:dyDescent="0.25">
      <c r="A56" s="111" t="s">
        <v>89</v>
      </c>
      <c r="B56" s="112"/>
      <c r="C56" s="112"/>
      <c r="D56" s="112"/>
      <c r="E56" s="112"/>
      <c r="F56" s="112"/>
      <c r="G56" s="112"/>
      <c r="H56" s="112"/>
      <c r="I56" s="112"/>
      <c r="J56" s="113"/>
    </row>
    <row r="57" spans="1:10" x14ac:dyDescent="0.2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x14ac:dyDescent="0.2">
      <c r="A58" s="8"/>
      <c r="B58" s="86" t="str">
        <f>A8</f>
        <v>Produit  :</v>
      </c>
      <c r="C58" s="110">
        <f>B8</f>
        <v>0</v>
      </c>
      <c r="D58" s="110"/>
      <c r="E58" s="110"/>
      <c r="F58" s="110"/>
      <c r="G58" s="8"/>
      <c r="H58" s="8"/>
      <c r="I58" s="8"/>
      <c r="J58" s="8"/>
    </row>
    <row r="59" spans="1:10" x14ac:dyDescent="0.2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spans="1:10" x14ac:dyDescent="0.2">
      <c r="A60" s="11"/>
      <c r="B60" s="96" t="s">
        <v>1</v>
      </c>
      <c r="C60" s="97"/>
      <c r="D60" s="97"/>
      <c r="E60" s="98"/>
      <c r="F60" s="99" t="s">
        <v>2</v>
      </c>
      <c r="G60" s="97"/>
      <c r="H60" s="97"/>
      <c r="I60" s="100"/>
      <c r="J60" s="8"/>
    </row>
    <row r="61" spans="1:10" x14ac:dyDescent="0.2">
      <c r="A61" s="12"/>
      <c r="B61" s="101" t="s">
        <v>9</v>
      </c>
      <c r="C61" s="102"/>
      <c r="D61" s="2" t="s">
        <v>3</v>
      </c>
      <c r="E61" s="3" t="s">
        <v>20</v>
      </c>
      <c r="F61" s="103" t="s">
        <v>9</v>
      </c>
      <c r="G61" s="102"/>
      <c r="H61" s="2" t="s">
        <v>3</v>
      </c>
      <c r="I61" s="2" t="s">
        <v>10</v>
      </c>
      <c r="J61" s="8"/>
    </row>
    <row r="62" spans="1:10" x14ac:dyDescent="0.2">
      <c r="A62" s="11" t="s">
        <v>0</v>
      </c>
      <c r="B62" s="2" t="s">
        <v>11</v>
      </c>
      <c r="C62" s="2" t="s">
        <v>4</v>
      </c>
      <c r="D62" s="2" t="s">
        <v>11</v>
      </c>
      <c r="E62" s="3" t="s">
        <v>4</v>
      </c>
      <c r="F62" s="1" t="s">
        <v>4</v>
      </c>
      <c r="G62" s="2" t="s">
        <v>5</v>
      </c>
      <c r="H62" s="2" t="s">
        <v>4</v>
      </c>
      <c r="I62" s="2"/>
      <c r="J62" s="8"/>
    </row>
    <row r="63" spans="1:10" x14ac:dyDescent="0.2">
      <c r="A63" s="4" t="s">
        <v>6</v>
      </c>
      <c r="B63" s="2" t="e">
        <f>ROUNDDOWN(((B15*0.33/$B$17)*($B$48-200)/0.33),0)</f>
        <v>#DIV/0!</v>
      </c>
      <c r="C63" s="2" t="e">
        <f>ROUNDDOWN(((C15*0.33/$B$17)*($B$48-200)/0.33),0)</f>
        <v>#DIV/0!</v>
      </c>
      <c r="D63" s="2" t="e">
        <f t="shared" ref="D63:I63" si="0">ROUNDDOWN(((D15*0.33/$B$17)*($B$48-200)/0.33),0)</f>
        <v>#DIV/0!</v>
      </c>
      <c r="E63" s="3" t="e">
        <f t="shared" si="0"/>
        <v>#DIV/0!</v>
      </c>
      <c r="F63" s="1" t="e">
        <f t="shared" si="0"/>
        <v>#DIV/0!</v>
      </c>
      <c r="G63" s="2" t="e">
        <f t="shared" si="0"/>
        <v>#DIV/0!</v>
      </c>
      <c r="H63" s="2" t="e">
        <f t="shared" si="0"/>
        <v>#DIV/0!</v>
      </c>
      <c r="I63" s="2"/>
      <c r="J63" s="8"/>
    </row>
    <row r="64" spans="1:10" x14ac:dyDescent="0.2">
      <c r="A64" s="4" t="s">
        <v>7</v>
      </c>
      <c r="B64" s="2" t="e">
        <f>ROUNDUP(B63/12,0)</f>
        <v>#DIV/0!</v>
      </c>
      <c r="C64" s="2" t="e">
        <f>ROUNDUP(C63/6,0)</f>
        <v>#DIV/0!</v>
      </c>
      <c r="D64" s="2" t="e">
        <f t="shared" ref="C64:I64" si="1">ROUNDUP(D63/12,0)</f>
        <v>#DIV/0!</v>
      </c>
      <c r="E64" s="3" t="e">
        <f t="shared" si="1"/>
        <v>#DIV/0!</v>
      </c>
      <c r="F64" s="1" t="e">
        <f>ROUNDUP(F63/6,0)</f>
        <v>#DIV/0!</v>
      </c>
      <c r="G64" s="2" t="e">
        <f>ROUNDUP(G63/4,0)</f>
        <v>#DIV/0!</v>
      </c>
      <c r="H64" s="2" t="e">
        <f>ROUNDUP(H63/6,0)</f>
        <v>#DIV/0!</v>
      </c>
      <c r="I64" s="2"/>
      <c r="J64" s="8"/>
    </row>
    <row r="65" spans="1:10" x14ac:dyDescent="0.2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0" x14ac:dyDescent="0.2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0" ht="19" x14ac:dyDescent="0.25">
      <c r="A67" s="111" t="s">
        <v>98</v>
      </c>
      <c r="B67" s="112"/>
      <c r="C67" s="112"/>
      <c r="D67" s="112"/>
      <c r="E67" s="112"/>
      <c r="F67" s="112"/>
      <c r="G67" s="112"/>
      <c r="H67" s="112"/>
      <c r="I67" s="112"/>
      <c r="J67" s="113"/>
    </row>
    <row r="68" spans="1:10" x14ac:dyDescent="0.2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0" x14ac:dyDescent="0.2">
      <c r="A69" s="8"/>
      <c r="B69" s="86" t="str">
        <f>B58</f>
        <v>Produit  :</v>
      </c>
      <c r="C69" s="110">
        <f>C58</f>
        <v>0</v>
      </c>
      <c r="D69" s="110"/>
      <c r="E69" s="110"/>
      <c r="F69" s="110"/>
      <c r="G69" s="8"/>
      <c r="H69" s="8"/>
      <c r="I69" s="8"/>
      <c r="J69" s="8"/>
    </row>
    <row r="70" spans="1:10" x14ac:dyDescent="0.2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0" x14ac:dyDescent="0.2">
      <c r="A71" s="11"/>
      <c r="B71" s="96" t="s">
        <v>1</v>
      </c>
      <c r="C71" s="97"/>
      <c r="D71" s="97"/>
      <c r="E71" s="98"/>
      <c r="F71" s="99" t="s">
        <v>2</v>
      </c>
      <c r="G71" s="97"/>
      <c r="H71" s="97"/>
      <c r="I71" s="100"/>
      <c r="J71" s="8"/>
    </row>
    <row r="72" spans="1:10" x14ac:dyDescent="0.2">
      <c r="A72" s="12"/>
      <c r="B72" s="101" t="s">
        <v>9</v>
      </c>
      <c r="C72" s="102"/>
      <c r="D72" s="2" t="s">
        <v>3</v>
      </c>
      <c r="E72" s="3" t="s">
        <v>20</v>
      </c>
      <c r="F72" s="103" t="s">
        <v>9</v>
      </c>
      <c r="G72" s="102"/>
      <c r="H72" s="2" t="s">
        <v>3</v>
      </c>
      <c r="I72" s="2" t="s">
        <v>10</v>
      </c>
      <c r="J72" s="8"/>
    </row>
    <row r="73" spans="1:10" ht="24" customHeight="1" x14ac:dyDescent="0.2">
      <c r="A73" s="11" t="s">
        <v>0</v>
      </c>
      <c r="B73" s="2" t="s">
        <v>11</v>
      </c>
      <c r="C73" s="2" t="s">
        <v>4</v>
      </c>
      <c r="D73" s="2" t="s">
        <v>11</v>
      </c>
      <c r="E73" s="3" t="s">
        <v>4</v>
      </c>
      <c r="F73" s="1" t="s">
        <v>4</v>
      </c>
      <c r="G73" s="2" t="s">
        <v>5</v>
      </c>
      <c r="H73" s="2" t="s">
        <v>4</v>
      </c>
      <c r="I73" s="2"/>
      <c r="J73" s="8"/>
    </row>
    <row r="74" spans="1:10" ht="24" customHeight="1" x14ac:dyDescent="0.2">
      <c r="A74" s="4" t="s">
        <v>7</v>
      </c>
      <c r="B74" s="2"/>
      <c r="C74" s="2"/>
      <c r="D74" s="2"/>
      <c r="E74" s="3"/>
      <c r="F74" s="1"/>
      <c r="G74" s="2"/>
      <c r="H74" s="2"/>
      <c r="I74" s="2"/>
      <c r="J74" s="8"/>
    </row>
    <row r="75" spans="1:10" ht="24" customHeight="1" x14ac:dyDescent="0.2">
      <c r="A75" s="4" t="s">
        <v>99</v>
      </c>
      <c r="B75" s="2"/>
      <c r="C75" s="2"/>
      <c r="D75" s="2"/>
      <c r="E75" s="3"/>
      <c r="F75" s="1"/>
      <c r="G75" s="2"/>
      <c r="H75" s="2"/>
      <c r="I75" s="2"/>
      <c r="J75" s="8"/>
    </row>
    <row r="76" spans="1:10" ht="24" customHeight="1" x14ac:dyDescent="0.2">
      <c r="A76" s="4" t="s">
        <v>50</v>
      </c>
      <c r="B76" s="104">
        <f>B10</f>
        <v>0</v>
      </c>
      <c r="C76" s="105"/>
      <c r="D76" s="105"/>
      <c r="E76" s="105"/>
      <c r="F76" s="105"/>
      <c r="G76" s="105"/>
      <c r="H76" s="105"/>
      <c r="I76" s="106"/>
      <c r="J76" s="8"/>
    </row>
    <row r="77" spans="1:10" x14ac:dyDescent="0.2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0" x14ac:dyDescent="0.2">
      <c r="A78" s="8" t="s">
        <v>103</v>
      </c>
      <c r="B78" s="8"/>
      <c r="C78" s="8"/>
      <c r="D78" s="8"/>
      <c r="E78" s="8"/>
      <c r="F78" s="8"/>
      <c r="G78" s="8"/>
      <c r="H78" s="8"/>
      <c r="I78" s="8"/>
      <c r="J78" s="8"/>
    </row>
    <row r="79" spans="1:10" ht="24" customHeight="1" x14ac:dyDescent="0.2">
      <c r="A79" s="4" t="s">
        <v>100</v>
      </c>
      <c r="B79" s="2"/>
      <c r="C79" s="2"/>
      <c r="D79" s="2"/>
      <c r="E79" s="3"/>
      <c r="F79" s="1"/>
      <c r="G79" s="2"/>
      <c r="H79" s="2"/>
      <c r="I79" s="2"/>
      <c r="J79" s="8"/>
    </row>
    <row r="80" spans="1:10" ht="24" customHeight="1" x14ac:dyDescent="0.2">
      <c r="A80" s="4" t="s">
        <v>101</v>
      </c>
      <c r="B80" s="2"/>
      <c r="C80" s="2"/>
      <c r="D80" s="2"/>
      <c r="E80" s="3"/>
      <c r="F80" s="1"/>
      <c r="G80" s="2"/>
      <c r="H80" s="2"/>
      <c r="I80" s="2"/>
      <c r="J80" s="8"/>
    </row>
    <row r="81" spans="1:10" ht="24" customHeight="1" x14ac:dyDescent="0.2">
      <c r="A81" s="4" t="s">
        <v>102</v>
      </c>
      <c r="B81" s="2"/>
      <c r="C81" s="2"/>
      <c r="D81" s="2"/>
      <c r="E81" s="3"/>
      <c r="F81" s="1"/>
      <c r="G81" s="2"/>
      <c r="H81" s="2"/>
      <c r="I81" s="2"/>
      <c r="J81" s="8"/>
    </row>
    <row r="82" spans="1:10" x14ac:dyDescent="0.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 x14ac:dyDescent="0.2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 x14ac:dyDescent="0.2">
      <c r="A84" s="87" t="s">
        <v>104</v>
      </c>
      <c r="B84" s="88"/>
      <c r="C84" s="88"/>
      <c r="D84" s="88"/>
      <c r="E84" s="88"/>
      <c r="F84" s="88"/>
      <c r="G84" s="88"/>
      <c r="H84" s="88"/>
      <c r="I84" s="88"/>
      <c r="J84" s="92"/>
    </row>
    <row r="85" spans="1:10" x14ac:dyDescent="0.2">
      <c r="A85" s="89"/>
      <c r="B85" s="93"/>
      <c r="C85" s="93"/>
      <c r="D85" s="93"/>
      <c r="E85" s="93"/>
      <c r="F85" s="93"/>
      <c r="G85" s="93"/>
      <c r="H85" s="93"/>
      <c r="I85" s="93"/>
      <c r="J85" s="94"/>
    </row>
    <row r="86" spans="1:10" x14ac:dyDescent="0.2">
      <c r="A86" s="89"/>
      <c r="B86" s="93"/>
      <c r="C86" s="93"/>
      <c r="D86" s="93"/>
      <c r="E86" s="93"/>
      <c r="F86" s="93"/>
      <c r="G86" s="93"/>
      <c r="H86" s="93"/>
      <c r="I86" s="93"/>
      <c r="J86" s="94"/>
    </row>
    <row r="87" spans="1:10" x14ac:dyDescent="0.2">
      <c r="A87" s="89"/>
      <c r="B87" s="93"/>
      <c r="C87" s="93"/>
      <c r="D87" s="93"/>
      <c r="E87" s="93"/>
      <c r="F87" s="93"/>
      <c r="G87" s="93"/>
      <c r="H87" s="93"/>
      <c r="I87" s="93"/>
      <c r="J87" s="94"/>
    </row>
    <row r="88" spans="1:10" x14ac:dyDescent="0.2">
      <c r="A88" s="89"/>
      <c r="B88" s="93"/>
      <c r="C88" s="93"/>
      <c r="D88" s="93"/>
      <c r="E88" s="93"/>
      <c r="F88" s="93"/>
      <c r="G88" s="93"/>
      <c r="H88" s="93"/>
      <c r="I88" s="93"/>
      <c r="J88" s="94"/>
    </row>
    <row r="89" spans="1:10" x14ac:dyDescent="0.2">
      <c r="A89" s="90"/>
      <c r="B89" s="91"/>
      <c r="C89" s="91"/>
      <c r="D89" s="91"/>
      <c r="E89" s="91"/>
      <c r="F89" s="91"/>
      <c r="G89" s="91"/>
      <c r="H89" s="91"/>
      <c r="I89" s="91"/>
      <c r="J89" s="95"/>
    </row>
    <row r="90" spans="1:10" x14ac:dyDescent="0.2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 x14ac:dyDescent="0.2">
      <c r="A91" s="87" t="s">
        <v>105</v>
      </c>
      <c r="B91" s="88"/>
      <c r="C91" s="88"/>
      <c r="D91" s="88"/>
      <c r="E91" s="88"/>
      <c r="F91" s="88"/>
      <c r="G91" s="88"/>
      <c r="H91" s="88"/>
      <c r="I91" s="88"/>
      <c r="J91" s="92"/>
    </row>
    <row r="92" spans="1:10" x14ac:dyDescent="0.2">
      <c r="A92" s="89"/>
      <c r="B92" s="93"/>
      <c r="C92" s="93"/>
      <c r="D92" s="93"/>
      <c r="E92" s="93"/>
      <c r="F92" s="93"/>
      <c r="G92" s="93"/>
      <c r="H92" s="93"/>
      <c r="I92" s="93"/>
      <c r="J92" s="94"/>
    </row>
    <row r="93" spans="1:10" x14ac:dyDescent="0.2">
      <c r="A93" s="89"/>
      <c r="B93" s="93"/>
      <c r="C93" s="93"/>
      <c r="D93" s="93"/>
      <c r="E93" s="93"/>
      <c r="F93" s="93"/>
      <c r="G93" s="93"/>
      <c r="H93" s="93"/>
      <c r="I93" s="93"/>
      <c r="J93" s="94"/>
    </row>
    <row r="94" spans="1:10" x14ac:dyDescent="0.2">
      <c r="A94" s="89"/>
      <c r="B94" s="93"/>
      <c r="C94" s="93"/>
      <c r="D94" s="93"/>
      <c r="E94" s="93"/>
      <c r="F94" s="93"/>
      <c r="G94" s="93"/>
      <c r="H94" s="93"/>
      <c r="I94" s="93"/>
      <c r="J94" s="94"/>
    </row>
    <row r="95" spans="1:10" x14ac:dyDescent="0.2">
      <c r="A95" s="89"/>
      <c r="B95" s="93"/>
      <c r="C95" s="93"/>
      <c r="D95" s="93"/>
      <c r="E95" s="93"/>
      <c r="F95" s="93"/>
      <c r="G95" s="93"/>
      <c r="H95" s="93"/>
      <c r="I95" s="93"/>
      <c r="J95" s="94"/>
    </row>
    <row r="96" spans="1:10" x14ac:dyDescent="0.2">
      <c r="A96" s="90"/>
      <c r="B96" s="91"/>
      <c r="C96" s="91"/>
      <c r="D96" s="91"/>
      <c r="E96" s="91"/>
      <c r="F96" s="91"/>
      <c r="G96" s="91"/>
      <c r="H96" s="91"/>
      <c r="I96" s="91"/>
      <c r="J96" s="95"/>
    </row>
    <row r="97" spans="1:10" x14ac:dyDescent="0.2">
      <c r="A97" s="8"/>
      <c r="B97" s="8"/>
      <c r="C97" s="8"/>
      <c r="D97" s="8"/>
      <c r="E97" s="8"/>
      <c r="F97" s="8"/>
      <c r="G97" s="8"/>
      <c r="H97" s="8"/>
      <c r="I97" s="8"/>
      <c r="J97" s="8"/>
    </row>
  </sheetData>
  <mergeCells count="50">
    <mergeCell ref="A1:H4"/>
    <mergeCell ref="I1:J1"/>
    <mergeCell ref="I2:J2"/>
    <mergeCell ref="I3:J3"/>
    <mergeCell ref="I4:J4"/>
    <mergeCell ref="G24:I24"/>
    <mergeCell ref="A6:J6"/>
    <mergeCell ref="B8:J8"/>
    <mergeCell ref="B10:C10"/>
    <mergeCell ref="I10:J10"/>
    <mergeCell ref="B12:E12"/>
    <mergeCell ref="F12:I12"/>
    <mergeCell ref="B17:I17"/>
    <mergeCell ref="B13:C13"/>
    <mergeCell ref="F13:G13"/>
    <mergeCell ref="A19:J19"/>
    <mergeCell ref="G20:I20"/>
    <mergeCell ref="G21:I21"/>
    <mergeCell ref="G22:I22"/>
    <mergeCell ref="G23:I23"/>
    <mergeCell ref="A38:B38"/>
    <mergeCell ref="A33:B33"/>
    <mergeCell ref="A30:B30"/>
    <mergeCell ref="A31:B31"/>
    <mergeCell ref="A32:B32"/>
    <mergeCell ref="C69:F69"/>
    <mergeCell ref="G30:H30"/>
    <mergeCell ref="G31:H31"/>
    <mergeCell ref="B60:E60"/>
    <mergeCell ref="F60:I60"/>
    <mergeCell ref="B47:D47"/>
    <mergeCell ref="B48:D48"/>
    <mergeCell ref="B49:D49"/>
    <mergeCell ref="A56:J56"/>
    <mergeCell ref="B41:D41"/>
    <mergeCell ref="B42:D42"/>
    <mergeCell ref="B43:D43"/>
    <mergeCell ref="B44:D44"/>
    <mergeCell ref="A35:B35"/>
    <mergeCell ref="A36:B36"/>
    <mergeCell ref="A37:B37"/>
    <mergeCell ref="B61:C61"/>
    <mergeCell ref="F61:G61"/>
    <mergeCell ref="C58:F58"/>
    <mergeCell ref="A67:J67"/>
    <mergeCell ref="B71:E71"/>
    <mergeCell ref="F71:I71"/>
    <mergeCell ref="B72:C72"/>
    <mergeCell ref="F72:G72"/>
    <mergeCell ref="B76:I76"/>
  </mergeCells>
  <pageMargins left="0.7" right="0.7" top="0.75" bottom="0.75" header="0.3" footer="0.3"/>
  <pageSetup paperSize="9" orientation="portrait" horizontalDpi="0" verticalDpi="0"/>
  <ignoredErrors>
    <ignoredError sqref="C15 G15 C64:I6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0A45-B885-0049-B3D7-AC668D80377B}">
  <dimension ref="A1:F24"/>
  <sheetViews>
    <sheetView zoomScale="150" workbookViewId="0">
      <selection activeCell="E11" sqref="E11"/>
    </sheetView>
  </sheetViews>
  <sheetFormatPr baseColWidth="10" defaultRowHeight="16" x14ac:dyDescent="0.2"/>
  <cols>
    <col min="1" max="2" width="10.83203125" style="8"/>
    <col min="3" max="3" width="9.83203125" style="8" bestFit="1" customWidth="1"/>
    <col min="4" max="4" width="10.33203125" style="8" bestFit="1" customWidth="1"/>
    <col min="5" max="5" width="15.33203125" style="8" bestFit="1" customWidth="1"/>
    <col min="6" max="6" width="10.33203125" style="8" bestFit="1" customWidth="1"/>
    <col min="7" max="16384" width="10.83203125" style="8"/>
  </cols>
  <sheetData>
    <row r="1" spans="1:6" x14ac:dyDescent="0.2">
      <c r="A1" s="67" t="s">
        <v>82</v>
      </c>
      <c r="B1" s="68">
        <f>'Fiche de production'!C35</f>
        <v>800</v>
      </c>
    </row>
    <row r="3" spans="1:6" x14ac:dyDescent="0.2">
      <c r="C3" s="65" t="s">
        <v>84</v>
      </c>
      <c r="D3" s="65" t="s">
        <v>85</v>
      </c>
      <c r="E3" s="65" t="s">
        <v>36</v>
      </c>
      <c r="F3" s="65" t="s">
        <v>37</v>
      </c>
    </row>
    <row r="4" spans="1:6" x14ac:dyDescent="0.2">
      <c r="B4" s="64" t="s">
        <v>80</v>
      </c>
      <c r="C4" s="66">
        <f>B12*B1</f>
        <v>8.7999999999999989</v>
      </c>
      <c r="D4" s="66">
        <f>B1*B13</f>
        <v>6.4</v>
      </c>
      <c r="E4" s="66">
        <f>B14*B1</f>
        <v>3.2</v>
      </c>
      <c r="F4" s="66">
        <f>B15*B1</f>
        <v>6.4</v>
      </c>
    </row>
    <row r="5" spans="1:6" x14ac:dyDescent="0.2">
      <c r="B5" s="64" t="s">
        <v>81</v>
      </c>
      <c r="C5" s="66">
        <f>B1*B21</f>
        <v>28.000000000000004</v>
      </c>
      <c r="D5" s="66">
        <f>B1*B22</f>
        <v>12.8</v>
      </c>
      <c r="E5" s="66">
        <f>B23*B1</f>
        <v>3.2</v>
      </c>
      <c r="F5" s="66">
        <f>B24*B1</f>
        <v>4.8</v>
      </c>
    </row>
    <row r="10" spans="1:6" ht="17" thickBot="1" x14ac:dyDescent="0.25">
      <c r="A10" s="64" t="s">
        <v>83</v>
      </c>
      <c r="B10" s="64"/>
    </row>
    <row r="11" spans="1:6" x14ac:dyDescent="0.2">
      <c r="A11" s="69"/>
      <c r="B11" s="70" t="s">
        <v>75</v>
      </c>
    </row>
    <row r="12" spans="1:6" x14ac:dyDescent="0.2">
      <c r="A12" s="71" t="s">
        <v>76</v>
      </c>
      <c r="B12" s="72">
        <v>1.0999999999999999E-2</v>
      </c>
    </row>
    <row r="13" spans="1:6" x14ac:dyDescent="0.2">
      <c r="A13" s="71" t="s">
        <v>77</v>
      </c>
      <c r="B13" s="72">
        <v>8.0000000000000002E-3</v>
      </c>
    </row>
    <row r="14" spans="1:6" x14ac:dyDescent="0.2">
      <c r="A14" s="71" t="s">
        <v>78</v>
      </c>
      <c r="B14" s="72">
        <v>4.0000000000000001E-3</v>
      </c>
    </row>
    <row r="15" spans="1:6" ht="17" thickBot="1" x14ac:dyDescent="0.25">
      <c r="A15" s="73" t="s">
        <v>79</v>
      </c>
      <c r="B15" s="74">
        <v>8.0000000000000002E-3</v>
      </c>
    </row>
    <row r="16" spans="1:6" x14ac:dyDescent="0.2">
      <c r="A16" s="64"/>
      <c r="B16" s="64"/>
    </row>
    <row r="17" spans="1:2" x14ac:dyDescent="0.2">
      <c r="A17" s="64"/>
      <c r="B17" s="64"/>
    </row>
    <row r="18" spans="1:2" x14ac:dyDescent="0.2">
      <c r="A18" s="64"/>
      <c r="B18" s="64"/>
    </row>
    <row r="19" spans="1:2" ht="17" thickBot="1" x14ac:dyDescent="0.25">
      <c r="A19" s="64" t="s">
        <v>74</v>
      </c>
      <c r="B19" s="64"/>
    </row>
    <row r="20" spans="1:2" x14ac:dyDescent="0.2">
      <c r="A20" s="69"/>
      <c r="B20" s="70" t="s">
        <v>75</v>
      </c>
    </row>
    <row r="21" spans="1:2" x14ac:dyDescent="0.2">
      <c r="A21" s="71" t="s">
        <v>76</v>
      </c>
      <c r="B21" s="72">
        <v>3.5000000000000003E-2</v>
      </c>
    </row>
    <row r="22" spans="1:2" x14ac:dyDescent="0.2">
      <c r="A22" s="71" t="s">
        <v>77</v>
      </c>
      <c r="B22" s="72">
        <v>1.6E-2</v>
      </c>
    </row>
    <row r="23" spans="1:2" x14ac:dyDescent="0.2">
      <c r="A23" s="71" t="s">
        <v>78</v>
      </c>
      <c r="B23" s="72">
        <v>4.0000000000000001E-3</v>
      </c>
    </row>
    <row r="24" spans="1:2" ht="17" thickBot="1" x14ac:dyDescent="0.25">
      <c r="A24" s="73" t="s">
        <v>79</v>
      </c>
      <c r="B24" s="74">
        <v>6.0000000000000001E-3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EFF0-8905-AB42-B42B-7060B7627E83}">
  <dimension ref="A1:F11"/>
  <sheetViews>
    <sheetView workbookViewId="0">
      <selection activeCell="F9" sqref="F9"/>
    </sheetView>
  </sheetViews>
  <sheetFormatPr baseColWidth="10" defaultRowHeight="16" x14ac:dyDescent="0.2"/>
  <cols>
    <col min="1" max="1" width="19.6640625" bestFit="1" customWidth="1"/>
    <col min="2" max="2" width="19.6640625" customWidth="1"/>
    <col min="3" max="3" width="11.83203125" customWidth="1"/>
    <col min="5" max="5" width="18.83203125" bestFit="1" customWidth="1"/>
    <col min="6" max="6" width="7.1640625" bestFit="1" customWidth="1"/>
  </cols>
  <sheetData>
    <row r="1" spans="1:6" x14ac:dyDescent="0.2">
      <c r="A1" t="s">
        <v>49</v>
      </c>
      <c r="B1" t="s">
        <v>86</v>
      </c>
      <c r="C1" t="s">
        <v>50</v>
      </c>
      <c r="E1" t="s">
        <v>51</v>
      </c>
      <c r="F1" s="55" t="s">
        <v>52</v>
      </c>
    </row>
    <row r="2" spans="1:6" x14ac:dyDescent="0.2">
      <c r="A2" s="55" t="s">
        <v>53</v>
      </c>
      <c r="B2" s="55" t="s">
        <v>81</v>
      </c>
      <c r="C2" s="55">
        <v>365</v>
      </c>
      <c r="E2" s="56" t="s">
        <v>53</v>
      </c>
      <c r="F2" s="55">
        <v>4.0000000000000001E-3</v>
      </c>
    </row>
    <row r="3" spans="1:6" x14ac:dyDescent="0.2">
      <c r="A3" s="55" t="s">
        <v>54</v>
      </c>
      <c r="B3" s="55" t="s">
        <v>81</v>
      </c>
      <c r="C3" s="55">
        <v>365</v>
      </c>
      <c r="E3" s="57" t="s">
        <v>54</v>
      </c>
      <c r="F3" s="55">
        <v>8.0000000000000002E-3</v>
      </c>
    </row>
    <row r="4" spans="1:6" x14ac:dyDescent="0.2">
      <c r="A4" s="55" t="s">
        <v>55</v>
      </c>
      <c r="B4" s="55" t="s">
        <v>81</v>
      </c>
      <c r="C4" s="55">
        <v>365</v>
      </c>
      <c r="E4" s="56" t="s">
        <v>55</v>
      </c>
      <c r="F4" s="55">
        <v>2.4E-2</v>
      </c>
    </row>
    <row r="5" spans="1:6" x14ac:dyDescent="0.2">
      <c r="A5" s="55" t="s">
        <v>56</v>
      </c>
      <c r="B5" s="55" t="s">
        <v>81</v>
      </c>
      <c r="C5" s="55">
        <v>365</v>
      </c>
      <c r="E5" s="57" t="s">
        <v>56</v>
      </c>
      <c r="F5" s="55">
        <f>0.08+0.0012+0.004</f>
        <v>8.5200000000000012E-2</v>
      </c>
    </row>
    <row r="6" spans="1:6" x14ac:dyDescent="0.2">
      <c r="A6" s="55" t="s">
        <v>57</v>
      </c>
      <c r="B6" s="55" t="s">
        <v>81</v>
      </c>
      <c r="C6" s="55">
        <v>365</v>
      </c>
      <c r="E6" s="56" t="s">
        <v>57</v>
      </c>
      <c r="F6" s="55">
        <v>3.4000000000000002E-2</v>
      </c>
    </row>
    <row r="7" spans="1:6" x14ac:dyDescent="0.2">
      <c r="A7" s="55" t="s">
        <v>58</v>
      </c>
      <c r="B7" s="55" t="s">
        <v>87</v>
      </c>
      <c r="C7" s="55">
        <v>365</v>
      </c>
      <c r="E7" s="57" t="s">
        <v>58</v>
      </c>
      <c r="F7" s="55">
        <v>4.7000000000000002E-3</v>
      </c>
    </row>
    <row r="8" spans="1:6" x14ac:dyDescent="0.2">
      <c r="A8" s="55" t="s">
        <v>59</v>
      </c>
      <c r="B8" s="55" t="s">
        <v>87</v>
      </c>
      <c r="C8" s="55">
        <v>365</v>
      </c>
      <c r="E8" s="56" t="s">
        <v>59</v>
      </c>
      <c r="F8" s="55">
        <v>7.0000000000000001E-3</v>
      </c>
    </row>
    <row r="9" spans="1:6" x14ac:dyDescent="0.2">
      <c r="A9" s="57" t="s">
        <v>60</v>
      </c>
      <c r="B9" s="75" t="s">
        <v>87</v>
      </c>
      <c r="C9" s="55">
        <v>365</v>
      </c>
      <c r="E9" s="57" t="s">
        <v>60</v>
      </c>
      <c r="F9" s="55">
        <v>0</v>
      </c>
    </row>
    <row r="10" spans="1:6" x14ac:dyDescent="0.2">
      <c r="A10" s="55" t="s">
        <v>61</v>
      </c>
      <c r="B10" s="55" t="s">
        <v>81</v>
      </c>
      <c r="C10" s="55">
        <v>365</v>
      </c>
      <c r="E10" s="56" t="s">
        <v>61</v>
      </c>
      <c r="F10" s="55">
        <v>1.5800000000000002E-2</v>
      </c>
    </row>
    <row r="11" spans="1:6" x14ac:dyDescent="0.2">
      <c r="A11" s="55" t="s">
        <v>62</v>
      </c>
      <c r="B11" s="55"/>
      <c r="C11" s="55">
        <v>365</v>
      </c>
    </row>
  </sheetData>
  <phoneticPr fontId="2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E216-5E19-9445-85E1-66BA8BE636C5}">
  <dimension ref="A1:J149"/>
  <sheetViews>
    <sheetView workbookViewId="0">
      <selection activeCell="G24" sqref="G24"/>
    </sheetView>
  </sheetViews>
  <sheetFormatPr baseColWidth="10" defaultRowHeight="16" x14ac:dyDescent="0.2"/>
  <cols>
    <col min="3" max="3" width="13.83203125" style="60" bestFit="1" customWidth="1"/>
    <col min="4" max="5" width="10.83203125" style="60"/>
    <col min="6" max="6" width="33.83203125" style="60" bestFit="1" customWidth="1"/>
    <col min="7" max="7" width="13.6640625" style="60" bestFit="1" customWidth="1"/>
    <col min="8" max="8" width="10.83203125" style="60"/>
    <col min="9" max="9" width="33.83203125" style="60" bestFit="1" customWidth="1"/>
    <col min="10" max="16384" width="10.83203125" style="60"/>
  </cols>
  <sheetData>
    <row r="1" spans="1:10" ht="15" x14ac:dyDescent="0.2">
      <c r="A1" s="160" t="s">
        <v>8</v>
      </c>
      <c r="B1" s="160" t="s">
        <v>107</v>
      </c>
      <c r="C1" s="59"/>
      <c r="D1" s="59"/>
      <c r="F1" s="59" t="s">
        <v>72</v>
      </c>
      <c r="G1" s="59">
        <f>'Fiche de production'!C35</f>
        <v>800</v>
      </c>
      <c r="I1" s="59"/>
      <c r="J1" s="59"/>
    </row>
    <row r="2" spans="1:10" x14ac:dyDescent="0.2">
      <c r="A2">
        <v>50</v>
      </c>
      <c r="B2" s="161">
        <v>3.3</v>
      </c>
      <c r="F2" s="60" t="s">
        <v>66</v>
      </c>
      <c r="G2" s="61">
        <f t="array" ref="G2">MAX(IF(A:A&lt;=G1,A:A))</f>
        <v>800</v>
      </c>
      <c r="J2" s="61"/>
    </row>
    <row r="3" spans="1:10" x14ac:dyDescent="0.2">
      <c r="A3">
        <v>100</v>
      </c>
      <c r="B3" s="161">
        <v>7.5</v>
      </c>
      <c r="F3" s="60" t="s">
        <v>67</v>
      </c>
      <c r="G3" s="61">
        <f t="array" ref="G3">MIN(IF(A:A&gt;=G1,A:A))</f>
        <v>800</v>
      </c>
      <c r="J3" s="61"/>
    </row>
    <row r="4" spans="1:10" x14ac:dyDescent="0.2">
      <c r="A4">
        <v>150</v>
      </c>
      <c r="B4" s="161">
        <v>10.8</v>
      </c>
      <c r="F4" s="60" t="s">
        <v>68</v>
      </c>
      <c r="G4" s="61">
        <f>_xlfn.XLOOKUP(G2,A:A,B:B)</f>
        <v>36</v>
      </c>
      <c r="J4" s="61"/>
    </row>
    <row r="5" spans="1:10" x14ac:dyDescent="0.2">
      <c r="A5">
        <v>200</v>
      </c>
      <c r="B5" s="161">
        <v>13.6</v>
      </c>
      <c r="F5" s="60" t="s">
        <v>69</v>
      </c>
      <c r="G5" s="61">
        <f>_xlfn.XLOOKUP(G3,A:A,B:B)</f>
        <v>36</v>
      </c>
      <c r="J5" s="61"/>
    </row>
    <row r="6" spans="1:10" x14ac:dyDescent="0.2">
      <c r="A6">
        <v>250</v>
      </c>
      <c r="B6" s="161">
        <v>16</v>
      </c>
      <c r="F6" s="59" t="s">
        <v>70</v>
      </c>
      <c r="G6" s="61" t="e">
        <f>G4+(G1-G2)*(G5-G4)/(G3-G2)</f>
        <v>#DIV/0!</v>
      </c>
      <c r="I6" s="59"/>
    </row>
    <row r="7" spans="1:10" x14ac:dyDescent="0.2">
      <c r="A7">
        <v>300</v>
      </c>
      <c r="B7" s="161">
        <v>18.2</v>
      </c>
    </row>
    <row r="8" spans="1:10" x14ac:dyDescent="0.2">
      <c r="A8">
        <v>350</v>
      </c>
      <c r="B8" s="161">
        <v>20.399999999999999</v>
      </c>
      <c r="F8" s="59" t="s">
        <v>65</v>
      </c>
      <c r="G8" s="59">
        <f>'Fiche de production'!B43</f>
        <v>240</v>
      </c>
    </row>
    <row r="9" spans="1:10" x14ac:dyDescent="0.2">
      <c r="A9">
        <v>400</v>
      </c>
      <c r="B9" s="161">
        <v>22.4</v>
      </c>
      <c r="F9" s="60" t="s">
        <v>66</v>
      </c>
      <c r="G9" s="61">
        <f t="array" ref="G9">MAX(IF(A:A&lt;=G8,A:A))</f>
        <v>200</v>
      </c>
      <c r="I9" s="59"/>
      <c r="J9" s="59"/>
    </row>
    <row r="10" spans="1:10" x14ac:dyDescent="0.2">
      <c r="A10" s="161">
        <v>428.57142857142861</v>
      </c>
      <c r="B10" s="161">
        <v>24</v>
      </c>
      <c r="F10" s="60" t="s">
        <v>67</v>
      </c>
      <c r="G10" s="61">
        <f t="array" ref="G10">MIN(IF(A:A&gt;=G8,A:A))</f>
        <v>250</v>
      </c>
      <c r="J10" s="63"/>
    </row>
    <row r="11" spans="1:10" x14ac:dyDescent="0.2">
      <c r="A11">
        <v>450</v>
      </c>
      <c r="B11" s="161">
        <v>24.3</v>
      </c>
      <c r="F11" s="60" t="s">
        <v>68</v>
      </c>
      <c r="G11" s="61">
        <f>_xlfn.XLOOKUP(G9,A:A,B:B)</f>
        <v>13.6</v>
      </c>
      <c r="J11" s="63"/>
    </row>
    <row r="12" spans="1:10" x14ac:dyDescent="0.2">
      <c r="A12">
        <v>500</v>
      </c>
      <c r="B12" s="161">
        <v>26</v>
      </c>
      <c r="F12" s="60" t="s">
        <v>69</v>
      </c>
      <c r="G12" s="61">
        <f>_xlfn.XLOOKUP(G10,A:A,B:B)</f>
        <v>16</v>
      </c>
      <c r="J12" s="63"/>
    </row>
    <row r="13" spans="1:10" x14ac:dyDescent="0.2">
      <c r="A13">
        <v>550</v>
      </c>
      <c r="B13" s="161">
        <v>27.5</v>
      </c>
      <c r="F13" s="59" t="s">
        <v>70</v>
      </c>
      <c r="G13" s="61">
        <f>IFERROR((G11+(G8-G9)*(G12-G11)/(G10-G9)),0)</f>
        <v>15.52</v>
      </c>
      <c r="J13" s="61"/>
    </row>
    <row r="14" spans="1:10" x14ac:dyDescent="0.2">
      <c r="A14">
        <v>600</v>
      </c>
      <c r="B14" s="161">
        <v>29.2</v>
      </c>
      <c r="I14" s="59"/>
      <c r="J14" s="63"/>
    </row>
    <row r="15" spans="1:10" x14ac:dyDescent="0.2">
      <c r="A15">
        <v>650</v>
      </c>
      <c r="B15" s="161">
        <v>30.9</v>
      </c>
    </row>
    <row r="16" spans="1:10" x14ac:dyDescent="0.2">
      <c r="A16">
        <v>700</v>
      </c>
      <c r="B16" s="161">
        <v>32.700000000000003</v>
      </c>
      <c r="D16" s="62"/>
      <c r="F16" s="59" t="s">
        <v>71</v>
      </c>
      <c r="G16" s="59">
        <f>'Fiche de production'!B48</f>
        <v>400</v>
      </c>
    </row>
    <row r="17" spans="1:7" x14ac:dyDescent="0.2">
      <c r="A17">
        <v>750</v>
      </c>
      <c r="B17" s="161">
        <v>34.5</v>
      </c>
      <c r="D17" s="62"/>
      <c r="F17" s="60" t="s">
        <v>66</v>
      </c>
      <c r="G17" s="61">
        <f t="array" ref="G17">MAX(IF(A:A&lt;=G16,A:A))</f>
        <v>400</v>
      </c>
    </row>
    <row r="18" spans="1:7" x14ac:dyDescent="0.2">
      <c r="A18">
        <v>800</v>
      </c>
      <c r="B18" s="161">
        <v>36</v>
      </c>
      <c r="D18" s="62"/>
      <c r="F18" s="60" t="s">
        <v>67</v>
      </c>
      <c r="G18" s="61">
        <f t="array" ref="G18">MIN(IF(A:A&gt;=G16,A:A))</f>
        <v>400</v>
      </c>
    </row>
    <row r="19" spans="1:7" x14ac:dyDescent="0.2">
      <c r="A19">
        <v>850</v>
      </c>
      <c r="B19" s="161">
        <v>37.6</v>
      </c>
      <c r="D19" s="62"/>
      <c r="F19" s="60" t="s">
        <v>68</v>
      </c>
      <c r="G19" s="61">
        <f>_xlfn.XLOOKUP(G17,A:A,B:B)</f>
        <v>22.4</v>
      </c>
    </row>
    <row r="20" spans="1:7" x14ac:dyDescent="0.2">
      <c r="A20">
        <v>900</v>
      </c>
      <c r="B20" s="161">
        <v>39.299999999999997</v>
      </c>
      <c r="D20" s="62"/>
      <c r="F20" s="60" t="s">
        <v>69</v>
      </c>
      <c r="G20" s="61">
        <f>_xlfn.XLOOKUP(G18,A:A,B:B)</f>
        <v>22.4</v>
      </c>
    </row>
    <row r="21" spans="1:7" x14ac:dyDescent="0.2">
      <c r="A21">
        <v>950</v>
      </c>
      <c r="B21" s="161">
        <v>41</v>
      </c>
      <c r="D21" s="62"/>
      <c r="F21" s="59" t="s">
        <v>70</v>
      </c>
      <c r="G21" s="61" t="e">
        <f>G19+(G16-G17)*(G20-G19)/(G18-G17)</f>
        <v>#DIV/0!</v>
      </c>
    </row>
    <row r="22" spans="1:7" x14ac:dyDescent="0.2">
      <c r="A22">
        <v>1000</v>
      </c>
      <c r="B22" s="161">
        <v>42.5</v>
      </c>
      <c r="D22" s="62"/>
    </row>
    <row r="23" spans="1:7" x14ac:dyDescent="0.2">
      <c r="A23">
        <v>1050</v>
      </c>
      <c r="B23" s="161">
        <v>43.8</v>
      </c>
      <c r="D23" s="62"/>
    </row>
    <row r="24" spans="1:7" x14ac:dyDescent="0.2">
      <c r="A24">
        <v>1100</v>
      </c>
      <c r="B24" s="161">
        <v>45</v>
      </c>
      <c r="D24" s="62"/>
    </row>
    <row r="25" spans="1:7" x14ac:dyDescent="0.2">
      <c r="A25">
        <v>1150</v>
      </c>
      <c r="B25" s="161">
        <v>46.6</v>
      </c>
      <c r="D25" s="62"/>
    </row>
    <row r="26" spans="1:7" x14ac:dyDescent="0.2">
      <c r="A26">
        <v>1200</v>
      </c>
      <c r="B26" s="161">
        <v>48.274213734037033</v>
      </c>
      <c r="D26" s="62"/>
    </row>
    <row r="27" spans="1:7" x14ac:dyDescent="0.2">
      <c r="A27">
        <v>1250</v>
      </c>
      <c r="B27" s="161">
        <v>49.948427468074065</v>
      </c>
      <c r="D27" s="62"/>
    </row>
    <row r="28" spans="1:7" x14ac:dyDescent="0.2">
      <c r="A28">
        <v>1300</v>
      </c>
      <c r="B28" s="161">
        <v>51.622641202111097</v>
      </c>
      <c r="D28" s="62"/>
    </row>
    <row r="29" spans="1:7" x14ac:dyDescent="0.2">
      <c r="A29">
        <v>1350</v>
      </c>
      <c r="B29" s="161">
        <v>53.296854936148129</v>
      </c>
      <c r="D29" s="62"/>
    </row>
    <row r="30" spans="1:7" x14ac:dyDescent="0.2">
      <c r="A30">
        <v>1400</v>
      </c>
      <c r="B30" s="161">
        <v>54.971068670185161</v>
      </c>
    </row>
    <row r="31" spans="1:7" x14ac:dyDescent="0.2">
      <c r="A31">
        <v>1450</v>
      </c>
      <c r="B31" s="161">
        <v>56.645282404222193</v>
      </c>
    </row>
    <row r="32" spans="1:7" x14ac:dyDescent="0.2">
      <c r="A32">
        <v>1500</v>
      </c>
      <c r="B32" s="161">
        <v>58.319496138259225</v>
      </c>
    </row>
    <row r="33" spans="1:2" x14ac:dyDescent="0.2">
      <c r="A33">
        <v>1550</v>
      </c>
      <c r="B33" s="161">
        <v>59.993709872296257</v>
      </c>
    </row>
    <row r="34" spans="1:2" x14ac:dyDescent="0.2">
      <c r="A34">
        <v>1600</v>
      </c>
      <c r="B34" s="161">
        <v>61.667923606333289</v>
      </c>
    </row>
    <row r="35" spans="1:2" x14ac:dyDescent="0.2">
      <c r="A35">
        <v>1650</v>
      </c>
      <c r="B35" s="161">
        <v>63.342137340370321</v>
      </c>
    </row>
    <row r="36" spans="1:2" x14ac:dyDescent="0.2">
      <c r="A36">
        <v>1700</v>
      </c>
      <c r="B36" s="161">
        <v>65.016351074407353</v>
      </c>
    </row>
    <row r="37" spans="1:2" x14ac:dyDescent="0.2">
      <c r="A37">
        <v>1750</v>
      </c>
      <c r="B37" s="161">
        <v>66.690564808444378</v>
      </c>
    </row>
    <row r="38" spans="1:2" x14ac:dyDescent="0.2">
      <c r="A38">
        <v>1800</v>
      </c>
      <c r="B38" s="161">
        <v>68.364778542481417</v>
      </c>
    </row>
    <row r="39" spans="1:2" x14ac:dyDescent="0.2">
      <c r="A39">
        <v>1850</v>
      </c>
      <c r="B39" s="161">
        <v>70.038992276518456</v>
      </c>
    </row>
    <row r="40" spans="1:2" x14ac:dyDescent="0.2">
      <c r="A40">
        <v>1900</v>
      </c>
      <c r="B40" s="161">
        <v>71.713206010555496</v>
      </c>
    </row>
    <row r="41" spans="1:2" x14ac:dyDescent="0.2">
      <c r="A41">
        <v>1950</v>
      </c>
      <c r="B41" s="161">
        <v>73.387419744592535</v>
      </c>
    </row>
    <row r="42" spans="1:2" x14ac:dyDescent="0.2">
      <c r="A42">
        <v>2000</v>
      </c>
      <c r="B42" s="161">
        <v>75.061633478629574</v>
      </c>
    </row>
    <row r="43" spans="1:2" x14ac:dyDescent="0.2">
      <c r="A43">
        <v>2050</v>
      </c>
      <c r="B43" s="161">
        <v>76.735847212666613</v>
      </c>
    </row>
    <row r="44" spans="1:2" x14ac:dyDescent="0.2">
      <c r="A44">
        <v>2100</v>
      </c>
      <c r="B44" s="161">
        <v>78.410060946703652</v>
      </c>
    </row>
    <row r="45" spans="1:2" x14ac:dyDescent="0.2">
      <c r="A45">
        <v>2150</v>
      </c>
      <c r="B45" s="161">
        <v>80.084274680740691</v>
      </c>
    </row>
    <row r="46" spans="1:2" x14ac:dyDescent="0.2">
      <c r="A46">
        <v>2200</v>
      </c>
      <c r="B46" s="161">
        <v>81.75848841477773</v>
      </c>
    </row>
    <row r="47" spans="1:2" x14ac:dyDescent="0.2">
      <c r="A47">
        <v>2250</v>
      </c>
      <c r="B47" s="161">
        <v>83.432702148814769</v>
      </c>
    </row>
    <row r="48" spans="1:2" x14ac:dyDescent="0.2">
      <c r="A48">
        <v>2300</v>
      </c>
      <c r="B48" s="161">
        <v>85.106915882851808</v>
      </c>
    </row>
    <row r="49" spans="1:2" x14ac:dyDescent="0.2">
      <c r="A49">
        <v>2350</v>
      </c>
      <c r="B49" s="161">
        <v>86.781129616888848</v>
      </c>
    </row>
    <row r="50" spans="1:2" x14ac:dyDescent="0.2">
      <c r="A50">
        <v>2400</v>
      </c>
      <c r="B50" s="161">
        <v>88.455343350925887</v>
      </c>
    </row>
    <row r="51" spans="1:2" x14ac:dyDescent="0.2">
      <c r="A51">
        <v>2450</v>
      </c>
      <c r="B51" s="161">
        <v>90.129557084962926</v>
      </c>
    </row>
    <row r="52" spans="1:2" x14ac:dyDescent="0.2">
      <c r="A52">
        <v>2500</v>
      </c>
      <c r="B52" s="161">
        <v>91.803770818999965</v>
      </c>
    </row>
    <row r="53" spans="1:2" x14ac:dyDescent="0.2">
      <c r="A53">
        <v>2550</v>
      </c>
      <c r="B53" s="161">
        <v>93.477984553037004</v>
      </c>
    </row>
    <row r="54" spans="1:2" x14ac:dyDescent="0.2">
      <c r="A54">
        <v>2600</v>
      </c>
      <c r="B54" s="161">
        <v>95.152198287074043</v>
      </c>
    </row>
    <row r="55" spans="1:2" x14ac:dyDescent="0.2">
      <c r="A55">
        <v>2650</v>
      </c>
      <c r="B55" s="161">
        <v>96.826412021111082</v>
      </c>
    </row>
    <row r="56" spans="1:2" x14ac:dyDescent="0.2">
      <c r="A56">
        <v>2700</v>
      </c>
      <c r="B56" s="161">
        <v>98.500625755148121</v>
      </c>
    </row>
    <row r="57" spans="1:2" x14ac:dyDescent="0.2">
      <c r="A57">
        <v>2750</v>
      </c>
      <c r="B57" s="161">
        <v>100.17483948918516</v>
      </c>
    </row>
    <row r="58" spans="1:2" x14ac:dyDescent="0.2">
      <c r="A58">
        <v>2800</v>
      </c>
      <c r="B58" s="161">
        <v>101.8490532232222</v>
      </c>
    </row>
    <row r="59" spans="1:2" x14ac:dyDescent="0.2">
      <c r="A59">
        <v>2850</v>
      </c>
      <c r="B59" s="161">
        <v>103.52326695725924</v>
      </c>
    </row>
    <row r="60" spans="1:2" x14ac:dyDescent="0.2">
      <c r="A60">
        <v>2900</v>
      </c>
      <c r="B60" s="161">
        <v>105.19748069129628</v>
      </c>
    </row>
    <row r="61" spans="1:2" x14ac:dyDescent="0.2">
      <c r="A61">
        <v>2950</v>
      </c>
      <c r="B61" s="161">
        <v>106.87169442533332</v>
      </c>
    </row>
    <row r="62" spans="1:2" x14ac:dyDescent="0.2">
      <c r="A62">
        <v>3000</v>
      </c>
      <c r="B62" s="161">
        <v>108.54590815937036</v>
      </c>
    </row>
    <row r="63" spans="1:2" x14ac:dyDescent="0.2">
      <c r="A63">
        <v>3050</v>
      </c>
      <c r="B63" s="161">
        <v>110.22012189340739</v>
      </c>
    </row>
    <row r="64" spans="1:2" x14ac:dyDescent="0.2">
      <c r="A64">
        <v>3100</v>
      </c>
      <c r="B64" s="161">
        <v>111.89433562744443</v>
      </c>
    </row>
    <row r="65" spans="1:2" x14ac:dyDescent="0.2">
      <c r="A65">
        <v>3150</v>
      </c>
      <c r="B65" s="161">
        <v>113.56854936148147</v>
      </c>
    </row>
    <row r="66" spans="1:2" x14ac:dyDescent="0.2">
      <c r="A66">
        <v>3200</v>
      </c>
      <c r="B66" s="161">
        <v>115.24276309551851</v>
      </c>
    </row>
    <row r="67" spans="1:2" x14ac:dyDescent="0.2">
      <c r="A67">
        <v>3250</v>
      </c>
      <c r="B67" s="161">
        <v>116.91697682955555</v>
      </c>
    </row>
    <row r="68" spans="1:2" x14ac:dyDescent="0.2">
      <c r="A68">
        <v>3300</v>
      </c>
      <c r="B68" s="161">
        <v>118.59119056359259</v>
      </c>
    </row>
    <row r="69" spans="1:2" x14ac:dyDescent="0.2">
      <c r="A69">
        <v>3350</v>
      </c>
      <c r="B69" s="161">
        <v>120.26540429762963</v>
      </c>
    </row>
    <row r="70" spans="1:2" x14ac:dyDescent="0.2">
      <c r="A70">
        <v>3400</v>
      </c>
      <c r="B70" s="161">
        <v>121.93961803166667</v>
      </c>
    </row>
    <row r="71" spans="1:2" x14ac:dyDescent="0.2">
      <c r="A71">
        <v>3450</v>
      </c>
      <c r="B71" s="161">
        <v>123.61383176570371</v>
      </c>
    </row>
    <row r="72" spans="1:2" x14ac:dyDescent="0.2">
      <c r="A72">
        <v>3500</v>
      </c>
      <c r="B72" s="161">
        <v>125.28804549974075</v>
      </c>
    </row>
    <row r="73" spans="1:2" x14ac:dyDescent="0.2">
      <c r="A73">
        <v>3550</v>
      </c>
      <c r="B73" s="161">
        <v>126.96225923377779</v>
      </c>
    </row>
    <row r="74" spans="1:2" x14ac:dyDescent="0.2">
      <c r="A74">
        <v>3600</v>
      </c>
      <c r="B74" s="161">
        <v>128.63647296781483</v>
      </c>
    </row>
    <row r="75" spans="1:2" x14ac:dyDescent="0.2">
      <c r="A75">
        <v>3650</v>
      </c>
      <c r="B75" s="161">
        <v>130.31068670185186</v>
      </c>
    </row>
    <row r="76" spans="1:2" x14ac:dyDescent="0.2">
      <c r="A76">
        <v>3700</v>
      </c>
      <c r="B76" s="161">
        <v>131.9849004358889</v>
      </c>
    </row>
    <row r="77" spans="1:2" x14ac:dyDescent="0.2">
      <c r="A77">
        <v>3750</v>
      </c>
      <c r="B77" s="161">
        <v>133.65911416992594</v>
      </c>
    </row>
    <row r="78" spans="1:2" x14ac:dyDescent="0.2">
      <c r="A78">
        <v>3800</v>
      </c>
      <c r="B78" s="161">
        <v>135.33332790396298</v>
      </c>
    </row>
    <row r="79" spans="1:2" x14ac:dyDescent="0.2">
      <c r="A79">
        <v>3850</v>
      </c>
      <c r="B79" s="161">
        <v>137.00754163800002</v>
      </c>
    </row>
    <row r="80" spans="1:2" x14ac:dyDescent="0.2">
      <c r="A80">
        <v>3900</v>
      </c>
      <c r="B80" s="161">
        <v>138.68175537203706</v>
      </c>
    </row>
    <row r="81" spans="1:2" x14ac:dyDescent="0.2">
      <c r="A81">
        <v>3950</v>
      </c>
      <c r="B81" s="161">
        <v>140.3559691060741</v>
      </c>
    </row>
    <row r="82" spans="1:2" x14ac:dyDescent="0.2">
      <c r="A82">
        <v>4000</v>
      </c>
      <c r="B82" s="161">
        <v>142.03018284011114</v>
      </c>
    </row>
    <row r="83" spans="1:2" x14ac:dyDescent="0.2">
      <c r="A83">
        <v>4050</v>
      </c>
      <c r="B83" s="161">
        <v>143.70439657414818</v>
      </c>
    </row>
    <row r="84" spans="1:2" x14ac:dyDescent="0.2">
      <c r="A84">
        <v>4100</v>
      </c>
      <c r="B84" s="161">
        <v>145.37861030818522</v>
      </c>
    </row>
    <row r="85" spans="1:2" x14ac:dyDescent="0.2">
      <c r="A85">
        <v>4150</v>
      </c>
      <c r="B85" s="161">
        <v>147.05282404222226</v>
      </c>
    </row>
    <row r="86" spans="1:2" x14ac:dyDescent="0.2">
      <c r="A86">
        <v>4200</v>
      </c>
      <c r="B86" s="161">
        <v>148.72703777625929</v>
      </c>
    </row>
    <row r="87" spans="1:2" x14ac:dyDescent="0.2">
      <c r="A87">
        <v>4250</v>
      </c>
      <c r="B87" s="161">
        <v>150.40125151029633</v>
      </c>
    </row>
    <row r="88" spans="1:2" x14ac:dyDescent="0.2">
      <c r="A88">
        <v>4300</v>
      </c>
      <c r="B88" s="161">
        <v>152.07546524433337</v>
      </c>
    </row>
    <row r="89" spans="1:2" x14ac:dyDescent="0.2">
      <c r="A89">
        <v>4350</v>
      </c>
      <c r="B89" s="161">
        <v>153.74967897837041</v>
      </c>
    </row>
    <row r="90" spans="1:2" x14ac:dyDescent="0.2">
      <c r="A90">
        <v>4400</v>
      </c>
      <c r="B90" s="161">
        <v>155.42389271240745</v>
      </c>
    </row>
    <row r="91" spans="1:2" x14ac:dyDescent="0.2">
      <c r="A91">
        <v>4450</v>
      </c>
      <c r="B91" s="161">
        <v>157.09810644644449</v>
      </c>
    </row>
    <row r="92" spans="1:2" x14ac:dyDescent="0.2">
      <c r="A92">
        <v>4500</v>
      </c>
      <c r="B92" s="161">
        <v>158.77232018048153</v>
      </c>
    </row>
    <row r="93" spans="1:2" x14ac:dyDescent="0.2">
      <c r="A93">
        <v>4550</v>
      </c>
      <c r="B93" s="161">
        <v>160.44653391451857</v>
      </c>
    </row>
    <row r="94" spans="1:2" x14ac:dyDescent="0.2">
      <c r="A94">
        <v>4600</v>
      </c>
      <c r="B94" s="161">
        <v>162.12074764855561</v>
      </c>
    </row>
    <row r="95" spans="1:2" x14ac:dyDescent="0.2">
      <c r="A95">
        <v>4650</v>
      </c>
      <c r="B95" s="161">
        <v>163.79496138259265</v>
      </c>
    </row>
    <row r="96" spans="1:2" x14ac:dyDescent="0.2">
      <c r="A96">
        <v>4700</v>
      </c>
      <c r="B96" s="161">
        <v>165.46917511662969</v>
      </c>
    </row>
    <row r="97" spans="1:2" x14ac:dyDescent="0.2">
      <c r="A97">
        <v>4750</v>
      </c>
      <c r="B97" s="161">
        <v>167.14338885066672</v>
      </c>
    </row>
    <row r="98" spans="1:2" x14ac:dyDescent="0.2">
      <c r="A98">
        <v>4800</v>
      </c>
      <c r="B98" s="161">
        <v>168.81760258470376</v>
      </c>
    </row>
    <row r="99" spans="1:2" x14ac:dyDescent="0.2">
      <c r="A99">
        <v>4850</v>
      </c>
      <c r="B99" s="161">
        <v>170.4918163187408</v>
      </c>
    </row>
    <row r="100" spans="1:2" x14ac:dyDescent="0.2">
      <c r="A100">
        <v>4900</v>
      </c>
      <c r="B100" s="161">
        <v>172.16603005277784</v>
      </c>
    </row>
    <row r="101" spans="1:2" x14ac:dyDescent="0.2">
      <c r="A101">
        <v>4950</v>
      </c>
      <c r="B101" s="161">
        <v>173.84024378681488</v>
      </c>
    </row>
    <row r="102" spans="1:2" x14ac:dyDescent="0.2">
      <c r="A102">
        <v>5000</v>
      </c>
      <c r="B102" s="161">
        <v>175.51445752085192</v>
      </c>
    </row>
    <row r="103" spans="1:2" x14ac:dyDescent="0.2">
      <c r="A103">
        <v>5050</v>
      </c>
      <c r="B103" s="161">
        <v>177.18867125488896</v>
      </c>
    </row>
    <row r="104" spans="1:2" x14ac:dyDescent="0.2">
      <c r="A104">
        <v>5100</v>
      </c>
      <c r="B104" s="161">
        <v>178.862884988926</v>
      </c>
    </row>
    <row r="105" spans="1:2" x14ac:dyDescent="0.2">
      <c r="A105">
        <v>5150</v>
      </c>
      <c r="B105" s="161">
        <v>180.53709872296304</v>
      </c>
    </row>
    <row r="106" spans="1:2" x14ac:dyDescent="0.2">
      <c r="A106">
        <v>5200</v>
      </c>
      <c r="B106" s="161">
        <v>182.21131245700008</v>
      </c>
    </row>
    <row r="107" spans="1:2" x14ac:dyDescent="0.2">
      <c r="A107">
        <v>5250</v>
      </c>
      <c r="B107" s="161">
        <v>183.88552619103712</v>
      </c>
    </row>
    <row r="108" spans="1:2" x14ac:dyDescent="0.2">
      <c r="A108">
        <v>5300</v>
      </c>
      <c r="B108" s="161">
        <v>185.55973992507415</v>
      </c>
    </row>
    <row r="109" spans="1:2" x14ac:dyDescent="0.2">
      <c r="A109">
        <v>5350</v>
      </c>
      <c r="B109" s="161">
        <v>187.23395365911119</v>
      </c>
    </row>
    <row r="110" spans="1:2" x14ac:dyDescent="0.2">
      <c r="A110">
        <v>5400</v>
      </c>
      <c r="B110" s="161">
        <v>188.90816739314823</v>
      </c>
    </row>
    <row r="111" spans="1:2" x14ac:dyDescent="0.2">
      <c r="A111">
        <v>5450</v>
      </c>
      <c r="B111" s="161">
        <v>190.58238112718527</v>
      </c>
    </row>
    <row r="112" spans="1:2" x14ac:dyDescent="0.2">
      <c r="A112">
        <v>5500</v>
      </c>
      <c r="B112" s="161">
        <v>192.25659486122231</v>
      </c>
    </row>
    <row r="113" spans="1:2" x14ac:dyDescent="0.2">
      <c r="A113">
        <v>5550</v>
      </c>
      <c r="B113" s="161">
        <v>193.93080859525935</v>
      </c>
    </row>
    <row r="114" spans="1:2" x14ac:dyDescent="0.2">
      <c r="A114">
        <v>5600</v>
      </c>
      <c r="B114" s="161">
        <v>195.60502232929639</v>
      </c>
    </row>
    <row r="115" spans="1:2" x14ac:dyDescent="0.2">
      <c r="A115">
        <v>5650</v>
      </c>
      <c r="B115" s="161">
        <v>197.27923606333343</v>
      </c>
    </row>
    <row r="116" spans="1:2" x14ac:dyDescent="0.2">
      <c r="A116">
        <v>5700</v>
      </c>
      <c r="B116" s="161">
        <v>198.95344979737047</v>
      </c>
    </row>
    <row r="117" spans="1:2" x14ac:dyDescent="0.2">
      <c r="A117">
        <v>5750</v>
      </c>
      <c r="B117" s="161">
        <v>200.62766353140751</v>
      </c>
    </row>
    <row r="118" spans="1:2" x14ac:dyDescent="0.2">
      <c r="A118">
        <v>5800</v>
      </c>
      <c r="B118" s="161">
        <v>202.30187726544455</v>
      </c>
    </row>
    <row r="119" spans="1:2" x14ac:dyDescent="0.2">
      <c r="A119">
        <v>5850</v>
      </c>
      <c r="B119" s="161">
        <v>203.97609099948158</v>
      </c>
    </row>
    <row r="120" spans="1:2" x14ac:dyDescent="0.2">
      <c r="A120">
        <v>5900</v>
      </c>
      <c r="B120" s="161">
        <v>205.65030473351862</v>
      </c>
    </row>
    <row r="121" spans="1:2" x14ac:dyDescent="0.2">
      <c r="A121">
        <v>5950</v>
      </c>
      <c r="B121" s="161">
        <v>207.32451846755566</v>
      </c>
    </row>
    <row r="122" spans="1:2" x14ac:dyDescent="0.2">
      <c r="A122">
        <v>6000</v>
      </c>
      <c r="B122" s="161">
        <v>208.9987322015927</v>
      </c>
    </row>
    <row r="123" spans="1:2" x14ac:dyDescent="0.2">
      <c r="A123">
        <v>6050</v>
      </c>
      <c r="B123" s="161">
        <v>210.67294593562974</v>
      </c>
    </row>
    <row r="124" spans="1:2" x14ac:dyDescent="0.2">
      <c r="A124">
        <v>6100</v>
      </c>
      <c r="B124" s="161">
        <v>212.34715966966678</v>
      </c>
    </row>
    <row r="125" spans="1:2" x14ac:dyDescent="0.2">
      <c r="A125">
        <v>6150</v>
      </c>
      <c r="B125" s="161">
        <v>214.02137340370382</v>
      </c>
    </row>
    <row r="126" spans="1:2" x14ac:dyDescent="0.2">
      <c r="A126">
        <v>6200</v>
      </c>
      <c r="B126" s="161">
        <v>215.69558713774086</v>
      </c>
    </row>
    <row r="127" spans="1:2" x14ac:dyDescent="0.2">
      <c r="A127">
        <v>6250</v>
      </c>
      <c r="B127" s="161">
        <v>217.3698008717779</v>
      </c>
    </row>
    <row r="128" spans="1:2" x14ac:dyDescent="0.2">
      <c r="A128">
        <v>6300</v>
      </c>
      <c r="B128" s="161">
        <v>219.04401460581494</v>
      </c>
    </row>
    <row r="129" spans="1:2" x14ac:dyDescent="0.2">
      <c r="A129">
        <v>6350</v>
      </c>
      <c r="B129" s="161">
        <v>220.71822833985198</v>
      </c>
    </row>
    <row r="130" spans="1:2" x14ac:dyDescent="0.2">
      <c r="A130">
        <v>6400</v>
      </c>
      <c r="B130" s="161">
        <v>222.39244207388901</v>
      </c>
    </row>
    <row r="131" spans="1:2" x14ac:dyDescent="0.2">
      <c r="A131">
        <v>6450</v>
      </c>
      <c r="B131" s="161">
        <v>224.06665580792605</v>
      </c>
    </row>
    <row r="132" spans="1:2" x14ac:dyDescent="0.2">
      <c r="A132">
        <v>6500</v>
      </c>
      <c r="B132" s="161">
        <v>225.74086954196309</v>
      </c>
    </row>
    <row r="133" spans="1:2" x14ac:dyDescent="0.2">
      <c r="A133">
        <v>6550</v>
      </c>
      <c r="B133" s="161">
        <v>227.41508327600013</v>
      </c>
    </row>
    <row r="134" spans="1:2" x14ac:dyDescent="0.2">
      <c r="A134" s="161">
        <v>6566.8467477486947</v>
      </c>
      <c r="B134" s="161">
        <v>228</v>
      </c>
    </row>
    <row r="135" spans="1:2" x14ac:dyDescent="0.2">
      <c r="A135">
        <v>6600</v>
      </c>
      <c r="B135" s="161">
        <v>229.08929701003717</v>
      </c>
    </row>
    <row r="136" spans="1:2" x14ac:dyDescent="0.2">
      <c r="A136">
        <v>6650</v>
      </c>
      <c r="B136" s="161">
        <v>230.76351074407421</v>
      </c>
    </row>
    <row r="137" spans="1:2" x14ac:dyDescent="0.2">
      <c r="A137">
        <v>6700</v>
      </c>
      <c r="B137" s="161">
        <v>232.43772447811125</v>
      </c>
    </row>
    <row r="138" spans="1:2" x14ac:dyDescent="0.2">
      <c r="A138">
        <v>6750</v>
      </c>
      <c r="B138" s="161">
        <v>234.11193821214829</v>
      </c>
    </row>
    <row r="139" spans="1:2" x14ac:dyDescent="0.2">
      <c r="A139">
        <v>6800</v>
      </c>
      <c r="B139" s="161">
        <v>235.78615194618533</v>
      </c>
    </row>
    <row r="140" spans="1:2" x14ac:dyDescent="0.2">
      <c r="A140">
        <v>6850</v>
      </c>
      <c r="B140" s="161">
        <v>237.46036568022237</v>
      </c>
    </row>
    <row r="141" spans="1:2" x14ac:dyDescent="0.2">
      <c r="A141">
        <v>6900</v>
      </c>
      <c r="B141" s="161">
        <v>239.13457941425941</v>
      </c>
    </row>
    <row r="142" spans="1:2" x14ac:dyDescent="0.2">
      <c r="A142">
        <v>6950</v>
      </c>
      <c r="B142" s="161">
        <v>240.80879314829644</v>
      </c>
    </row>
    <row r="143" spans="1:2" x14ac:dyDescent="0.2">
      <c r="A143">
        <v>7000</v>
      </c>
      <c r="B143" s="161">
        <v>242.48300688233348</v>
      </c>
    </row>
    <row r="144" spans="1:2" x14ac:dyDescent="0.2">
      <c r="A144">
        <v>7050</v>
      </c>
      <c r="B144" s="161">
        <v>244.15722061637052</v>
      </c>
    </row>
    <row r="145" spans="1:2" x14ac:dyDescent="0.2">
      <c r="A145">
        <v>7100</v>
      </c>
      <c r="B145" s="161">
        <v>245.83143435040756</v>
      </c>
    </row>
    <row r="146" spans="1:2" x14ac:dyDescent="0.2">
      <c r="A146">
        <v>7150</v>
      </c>
      <c r="B146" s="161">
        <v>247.5056480844446</v>
      </c>
    </row>
    <row r="147" spans="1:2" x14ac:dyDescent="0.2">
      <c r="A147">
        <v>7200</v>
      </c>
      <c r="B147" s="161">
        <v>249.17986181848164</v>
      </c>
    </row>
    <row r="148" spans="1:2" x14ac:dyDescent="0.2">
      <c r="A148">
        <v>7250</v>
      </c>
      <c r="B148" s="161">
        <v>250.85407555251868</v>
      </c>
    </row>
    <row r="149" spans="1:2" x14ac:dyDescent="0.2">
      <c r="B149" s="1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Fiche de production</vt:lpstr>
      <vt:lpstr>Recettes</vt:lpstr>
      <vt:lpstr>Data</vt:lpstr>
      <vt:lpstr>CUVE 3 et 4 Mesure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Pradignac</dc:creator>
  <cp:lastModifiedBy>Nicolas Pradignac</cp:lastModifiedBy>
  <dcterms:created xsi:type="dcterms:W3CDTF">2026-02-09T15:39:00Z</dcterms:created>
  <dcterms:modified xsi:type="dcterms:W3CDTF">2026-02-10T15:52:18Z</dcterms:modified>
</cp:coreProperties>
</file>