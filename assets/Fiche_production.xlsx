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olaspradignac/Desktop/"/>
    </mc:Choice>
  </mc:AlternateContent>
  <xr:revisionPtr revIDLastSave="0" documentId="13_ncr:1_{FBD223D9-0DC2-5948-9943-F72DD9CEF176}" xr6:coauthVersionLast="47" xr6:coauthVersionMax="47" xr10:uidLastSave="{00000000-0000-0000-0000-000000000000}"/>
  <bookViews>
    <workbookView xWindow="20" yWindow="500" windowWidth="27180" windowHeight="19840" xr2:uid="{0E25F3FA-30B7-4548-A2E6-27E425FF4E52}"/>
  </bookViews>
  <sheets>
    <sheet name="Fiche de produc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1" i="1" l="1"/>
  <c r="C71" i="1" s="1"/>
  <c r="B67" i="1"/>
  <c r="C67" i="1"/>
  <c r="D67" i="1"/>
  <c r="E67" i="1"/>
  <c r="F67" i="1"/>
  <c r="G67" i="1"/>
  <c r="H67" i="1"/>
  <c r="I67" i="1"/>
  <c r="C66" i="1"/>
  <c r="D66" i="1"/>
  <c r="E66" i="1"/>
  <c r="F66" i="1"/>
  <c r="G66" i="1"/>
  <c r="H66" i="1"/>
  <c r="I66" i="1"/>
  <c r="B66" i="1"/>
  <c r="I10" i="1"/>
  <c r="B78" i="1"/>
  <c r="B61" i="1"/>
  <c r="B71" i="1" s="1"/>
  <c r="I35" i="1"/>
  <c r="J35" i="1" s="1"/>
  <c r="J57" i="1"/>
  <c r="A47" i="1"/>
  <c r="A41" i="1"/>
  <c r="I33" i="1"/>
  <c r="J33" i="1" s="1"/>
  <c r="I32" i="1" l="1"/>
  <c r="J32" i="1" s="1"/>
  <c r="I31" i="1"/>
  <c r="J31" i="1" s="1"/>
  <c r="B17" i="1"/>
</calcChain>
</file>

<file path=xl/sharedStrings.xml><?xml version="1.0" encoding="utf-8"?>
<sst xmlns="http://schemas.openxmlformats.org/spreadsheetml/2006/main" count="116" uniqueCount="71">
  <si>
    <t>Quantité</t>
  </si>
  <si>
    <t>33 CL</t>
  </si>
  <si>
    <t>75 CL</t>
  </si>
  <si>
    <t>NIKO</t>
  </si>
  <si>
    <t>X6</t>
  </si>
  <si>
    <t>X4</t>
  </si>
  <si>
    <t>Bouteilles</t>
  </si>
  <si>
    <t>Cartons</t>
  </si>
  <si>
    <t>Volume (L)</t>
  </si>
  <si>
    <t>SYMBIOSE</t>
  </si>
  <si>
    <t>AUTRE</t>
  </si>
  <si>
    <t>X12</t>
  </si>
  <si>
    <t>Code : PROD_EN_002</t>
  </si>
  <si>
    <t>Version : 07</t>
  </si>
  <si>
    <t>Création : 20/07/2021</t>
  </si>
  <si>
    <t>Mis à jour : 14/10/2025</t>
  </si>
  <si>
    <t>Produit préparé</t>
  </si>
  <si>
    <t>Produit  :</t>
  </si>
  <si>
    <t>DDM :</t>
  </si>
  <si>
    <t>LOT</t>
  </si>
  <si>
    <t>INTER</t>
  </si>
  <si>
    <t>Fermentation</t>
  </si>
  <si>
    <t>Date</t>
  </si>
  <si>
    <t>Heure</t>
  </si>
  <si>
    <t>Brix</t>
  </si>
  <si>
    <t>PH</t>
  </si>
  <si>
    <t>°C</t>
  </si>
  <si>
    <t>Goût</t>
  </si>
  <si>
    <t>Observation</t>
  </si>
  <si>
    <t>Matricule</t>
  </si>
  <si>
    <t>OK/NOK</t>
  </si>
  <si>
    <t xml:space="preserve">Fermentation : </t>
  </si>
  <si>
    <t>Conforme</t>
  </si>
  <si>
    <t>Non conforme</t>
  </si>
  <si>
    <t>Sucre (kg)</t>
  </si>
  <si>
    <t>Figues (kg)</t>
  </si>
  <si>
    <t>Jus de Citron (kg)</t>
  </si>
  <si>
    <t>Grains (kg)</t>
  </si>
  <si>
    <t>Phase 1 : DILUTION</t>
  </si>
  <si>
    <t>Volume de remplissage :</t>
  </si>
  <si>
    <t>Niveau de liquide :</t>
  </si>
  <si>
    <t>Pression sur le bulleur :</t>
  </si>
  <si>
    <t>3 bars</t>
  </si>
  <si>
    <t>Température de cuve :</t>
  </si>
  <si>
    <t>24°C</t>
  </si>
  <si>
    <t>Phase 2 : Filtration</t>
  </si>
  <si>
    <t>Volume filtré :</t>
  </si>
  <si>
    <t>Volume final :</t>
  </si>
  <si>
    <t>Hauteur :</t>
  </si>
  <si>
    <t>DDM</t>
  </si>
  <si>
    <t>Phase 2 : Remplissage</t>
  </si>
  <si>
    <t>IMPORTANT : la hauteur totale prend en compte l'ajout des jus de l'aromatisation</t>
  </si>
  <si>
    <t>Volume total :</t>
  </si>
  <si>
    <t>Date de la production :</t>
  </si>
  <si>
    <t>Prévision de conditionnement</t>
  </si>
  <si>
    <t>Emballage</t>
  </si>
  <si>
    <t>Bavarian 33cl</t>
  </si>
  <si>
    <t>Saft 75cl</t>
  </si>
  <si>
    <t>Eau gazeuse 75cl</t>
  </si>
  <si>
    <t>Désignation</t>
  </si>
  <si>
    <t>Unité</t>
  </si>
  <si>
    <t>Palette</t>
  </si>
  <si>
    <t>Palette Europe</t>
  </si>
  <si>
    <t>Conditionnement réel</t>
  </si>
  <si>
    <t>Palettes</t>
  </si>
  <si>
    <t>Antoine</t>
  </si>
  <si>
    <t>Échantillons</t>
  </si>
  <si>
    <t>Traçabilité</t>
  </si>
  <si>
    <t>Répartition des cartons :</t>
  </si>
  <si>
    <t>Remarques</t>
  </si>
  <si>
    <t>Incidents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</si>
</sst>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#,##0&quot; L&quot;"/>
    <numFmt numFmtId="166" formatCode="#,##0&quot; cm&quot;"/>
    <numFmt numFmtId="168" formatCode="ddmmyy"/>
  </numFmts>
  <fonts count="24" x14ac:knownFonts="1">
    <font>
      <sz val="12"/>
      <color theme="1"/>
      <name val="Aptos Narrow"/>
      <family val="2"/>
      <scheme val="minor"/>
    </font>
    <font>
      <i/>
      <sz val="9"/>
      <color theme="1"/>
      <name val="Aptos Narrow"/>
      <family val="2"/>
    </font>
    <font>
      <b/>
      <sz val="9"/>
      <color theme="1"/>
      <name val="Aptos Narrow"/>
    </font>
    <font>
      <b/>
      <sz val="9"/>
      <color theme="1"/>
      <name val="Aptos Narrow"/>
      <family val="2"/>
    </font>
    <font>
      <b/>
      <sz val="11"/>
      <color theme="1"/>
      <name val="Aptos Narrow"/>
      <family val="2"/>
    </font>
    <font>
      <sz val="8"/>
      <color theme="1"/>
      <name val="Aptos Narrow"/>
      <family val="2"/>
    </font>
    <font>
      <b/>
      <sz val="14"/>
      <color theme="1"/>
      <name val="Aptos Narrow"/>
      <family val="2"/>
    </font>
    <font>
      <sz val="11"/>
      <color theme="1"/>
      <name val="Aptos Narrow"/>
      <family val="2"/>
    </font>
    <font>
      <b/>
      <sz val="11"/>
      <name val="Aptos Narrow"/>
    </font>
    <font>
      <b/>
      <sz val="11"/>
      <name val="Aptos Narrow"/>
      <family val="2"/>
    </font>
    <font>
      <b/>
      <sz val="9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8"/>
      <color theme="1"/>
      <name val="Aptos Narrow"/>
      <family val="2"/>
    </font>
    <font>
      <b/>
      <sz val="9"/>
      <color theme="0"/>
      <name val="Aptos Narrow"/>
      <family val="2"/>
    </font>
    <font>
      <b/>
      <sz val="11"/>
      <color theme="1"/>
      <name val="Times New Roman"/>
      <family val="1"/>
    </font>
    <font>
      <sz val="10"/>
      <color theme="1"/>
      <name val="Aptos Narrow"/>
      <family val="2"/>
      <scheme val="minor"/>
    </font>
    <font>
      <b/>
      <u/>
      <sz val="12"/>
      <color theme="1"/>
      <name val="Aptos Narrow"/>
      <family val="2"/>
    </font>
    <font>
      <sz val="10"/>
      <color theme="1"/>
      <name val="Aptos Narrow"/>
      <family val="2"/>
    </font>
    <font>
      <b/>
      <sz val="11"/>
      <color theme="1"/>
      <name val="Aptos Narrow"/>
      <scheme val="minor"/>
    </font>
    <font>
      <i/>
      <sz val="11"/>
      <color theme="1"/>
      <name val="Aptos Narrow"/>
      <scheme val="minor"/>
    </font>
    <font>
      <sz val="10"/>
      <color rgb="FFFF0000"/>
      <name val="Aptos Narrow"/>
      <family val="2"/>
    </font>
    <font>
      <sz val="10"/>
      <color rgb="FFFF0000"/>
      <name val="Aptos Narrow"/>
      <family val="2"/>
      <scheme val="minor"/>
    </font>
    <font>
      <sz val="11"/>
      <color theme="1"/>
      <name val="Aptos Narrow"/>
      <scheme val="minor"/>
    </font>
    <font>
      <b/>
      <sz val="36"/>
      <color theme="1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rgb="FFD0D0D0"/>
      </patternFill>
    </fill>
    <fill>
      <patternFill patternType="solid">
        <fgColor theme="0"/>
        <bgColor indexed="64"/>
      </patternFill>
    </fill>
    <fill>
      <patternFill patternType="solid">
        <fgColor rgb="FFFFFEE9"/>
        <bgColor rgb="FFD0D0D0"/>
      </patternFill>
    </fill>
    <fill>
      <patternFill patternType="solid">
        <fgColor rgb="FFD0D0D0"/>
        <bgColor rgb="FFD0D0D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E6F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rgb="FF83CAEB"/>
      </patternFill>
    </fill>
    <fill>
      <patternFill patternType="solid">
        <fgColor rgb="FFFFFEE9"/>
        <bgColor indexed="64"/>
      </patternFill>
    </fill>
    <fill>
      <patternFill patternType="solid">
        <fgColor theme="4" tint="0.79998168889431442"/>
        <bgColor indexed="64"/>
      </patternFill>
    </fill>
  </fills>
  <borders count="3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rgb="FFFF0000"/>
      </right>
      <top/>
      <bottom style="thin">
        <color theme="1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indexed="64"/>
      </right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2" fillId="0" borderId="0"/>
  </cellStyleXfs>
  <cellXfs count="144">
    <xf numFmtId="0" fontId="0" fillId="0" borderId="0" xfId="0"/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0" fillId="3" borderId="0" xfId="0" applyFill="1"/>
    <xf numFmtId="0" fontId="8" fillId="6" borderId="9" xfId="0" applyFont="1" applyFill="1" applyBorder="1" applyAlignment="1">
      <alignment vertical="center"/>
    </xf>
    <xf numFmtId="0" fontId="1" fillId="2" borderId="15" xfId="0" applyFont="1" applyFill="1" applyBorder="1"/>
    <xf numFmtId="0" fontId="1" fillId="2" borderId="0" xfId="0" applyFont="1" applyFill="1"/>
    <xf numFmtId="0" fontId="3" fillId="0" borderId="19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7" fillId="0" borderId="29" xfId="0" applyFont="1" applyBorder="1"/>
    <xf numFmtId="0" fontId="4" fillId="0" borderId="15" xfId="0" applyFont="1" applyBorder="1" applyAlignment="1">
      <alignment vertical="center" wrapText="1"/>
    </xf>
    <xf numFmtId="0" fontId="3" fillId="0" borderId="26" xfId="0" applyFont="1" applyBorder="1" applyAlignment="1">
      <alignment vertical="center" wrapText="1"/>
    </xf>
    <xf numFmtId="0" fontId="7" fillId="0" borderId="23" xfId="0" applyFont="1" applyBorder="1"/>
    <xf numFmtId="0" fontId="4" fillId="0" borderId="22" xfId="0" applyFont="1" applyBorder="1" applyAlignment="1">
      <alignment vertical="center" wrapText="1"/>
    </xf>
    <xf numFmtId="0" fontId="3" fillId="0" borderId="28" xfId="0" applyFont="1" applyBorder="1" applyAlignment="1">
      <alignment vertical="center" wrapText="1"/>
    </xf>
    <xf numFmtId="0" fontId="12" fillId="0" borderId="2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22" xfId="0" applyFont="1" applyBorder="1" applyAlignment="1">
      <alignment vertical="center" wrapText="1"/>
    </xf>
    <xf numFmtId="0" fontId="3" fillId="0" borderId="25" xfId="0" applyFont="1" applyBorder="1" applyAlignment="1">
      <alignment vertical="center" wrapText="1"/>
    </xf>
    <xf numFmtId="0" fontId="4" fillId="0" borderId="27" xfId="0" applyFont="1" applyBorder="1" applyAlignment="1">
      <alignment vertical="center" wrapText="1"/>
    </xf>
    <xf numFmtId="0" fontId="13" fillId="7" borderId="20" xfId="0" applyFont="1" applyFill="1" applyBorder="1" applyAlignment="1">
      <alignment horizontal="center" vertical="center" wrapText="1"/>
    </xf>
    <xf numFmtId="0" fontId="13" fillId="7" borderId="21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vertical="center" wrapText="1"/>
    </xf>
    <xf numFmtId="0" fontId="3" fillId="0" borderId="31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12" fillId="0" borderId="32" xfId="0" applyFont="1" applyBorder="1" applyAlignment="1">
      <alignment vertical="center" wrapText="1"/>
    </xf>
    <xf numFmtId="0" fontId="12" fillId="0" borderId="7" xfId="0" applyFont="1" applyBorder="1" applyAlignment="1">
      <alignment vertical="center" wrapText="1"/>
    </xf>
    <xf numFmtId="0" fontId="0" fillId="0" borderId="7" xfId="0" applyBorder="1"/>
    <xf numFmtId="0" fontId="14" fillId="3" borderId="0" xfId="0" applyFont="1" applyFill="1" applyAlignment="1">
      <alignment horizontal="left" vertical="center"/>
    </xf>
    <xf numFmtId="0" fontId="15" fillId="3" borderId="0" xfId="0" applyFont="1" applyFill="1"/>
    <xf numFmtId="0" fontId="16" fillId="3" borderId="0" xfId="0" applyFont="1" applyFill="1"/>
    <xf numFmtId="0" fontId="7" fillId="3" borderId="0" xfId="0" applyFont="1" applyFill="1"/>
    <xf numFmtId="0" fontId="17" fillId="3" borderId="14" xfId="0" applyFont="1" applyFill="1" applyBorder="1" applyAlignment="1">
      <alignment horizontal="left" vertical="center"/>
    </xf>
    <xf numFmtId="0" fontId="17" fillId="3" borderId="16" xfId="0" applyFont="1" applyFill="1" applyBorder="1" applyAlignment="1">
      <alignment vertical="center"/>
    </xf>
    <xf numFmtId="0" fontId="17" fillId="3" borderId="0" xfId="0" applyFont="1" applyFill="1" applyAlignment="1">
      <alignment horizontal="left" vertical="center"/>
    </xf>
    <xf numFmtId="0" fontId="17" fillId="3" borderId="16" xfId="0" applyFont="1" applyFill="1" applyBorder="1" applyAlignment="1">
      <alignment horizontal="left" vertical="center"/>
    </xf>
    <xf numFmtId="0" fontId="17" fillId="3" borderId="2" xfId="0" applyFont="1" applyFill="1" applyBorder="1" applyAlignment="1">
      <alignment horizontal="left" vertical="center"/>
    </xf>
    <xf numFmtId="0" fontId="18" fillId="3" borderId="0" xfId="0" applyFont="1" applyFill="1"/>
    <xf numFmtId="0" fontId="19" fillId="3" borderId="0" xfId="0" applyFont="1" applyFill="1"/>
    <xf numFmtId="166" fontId="17" fillId="3" borderId="15" xfId="0" applyNumberFormat="1" applyFont="1" applyFill="1" applyBorder="1" applyAlignment="1">
      <alignment horizontal="center" vertical="center"/>
    </xf>
    <xf numFmtId="166" fontId="17" fillId="3" borderId="1" xfId="0" applyNumberFormat="1" applyFont="1" applyFill="1" applyBorder="1" applyAlignment="1">
      <alignment horizontal="center" vertical="center"/>
    </xf>
    <xf numFmtId="0" fontId="17" fillId="3" borderId="14" xfId="0" applyFont="1" applyFill="1" applyBorder="1" applyAlignment="1">
      <alignment vertical="center"/>
    </xf>
    <xf numFmtId="0" fontId="17" fillId="8" borderId="17" xfId="0" applyFont="1" applyFill="1" applyBorder="1" applyAlignment="1">
      <alignment vertical="center"/>
    </xf>
    <xf numFmtId="0" fontId="21" fillId="3" borderId="0" xfId="0" applyFont="1" applyFill="1"/>
    <xf numFmtId="14" fontId="15" fillId="3" borderId="0" xfId="0" applyNumberFormat="1" applyFont="1" applyFill="1"/>
    <xf numFmtId="1" fontId="17" fillId="3" borderId="18" xfId="0" applyNumberFormat="1" applyFont="1" applyFill="1" applyBorder="1" applyAlignment="1">
      <alignment horizontal="center"/>
    </xf>
    <xf numFmtId="1" fontId="17" fillId="3" borderId="8" xfId="0" applyNumberFormat="1" applyFont="1" applyFill="1" applyBorder="1" applyAlignment="1">
      <alignment horizontal="center"/>
    </xf>
    <xf numFmtId="0" fontId="17" fillId="3" borderId="9" xfId="0" applyFont="1" applyFill="1" applyBorder="1" applyAlignment="1">
      <alignment horizontal="left" vertical="center"/>
    </xf>
    <xf numFmtId="1" fontId="17" fillId="3" borderId="7" xfId="0" applyNumberFormat="1" applyFont="1" applyFill="1" applyBorder="1" applyAlignment="1">
      <alignment horizontal="center"/>
    </xf>
    <xf numFmtId="164" fontId="17" fillId="3" borderId="18" xfId="0" applyNumberFormat="1" applyFont="1" applyFill="1" applyBorder="1" applyAlignment="1">
      <alignment horizontal="center"/>
    </xf>
    <xf numFmtId="164" fontId="17" fillId="3" borderId="7" xfId="0" applyNumberFormat="1" applyFont="1" applyFill="1" applyBorder="1" applyAlignment="1">
      <alignment horizontal="center"/>
    </xf>
    <xf numFmtId="164" fontId="17" fillId="3" borderId="10" xfId="0" applyNumberFormat="1" applyFont="1" applyFill="1" applyBorder="1" applyAlignment="1">
      <alignment horizontal="center"/>
    </xf>
    <xf numFmtId="164" fontId="17" fillId="3" borderId="8" xfId="0" applyNumberFormat="1" applyFont="1" applyFill="1" applyBorder="1" applyAlignment="1">
      <alignment horizontal="center"/>
    </xf>
    <xf numFmtId="0" fontId="17" fillId="3" borderId="4" xfId="0" applyFont="1" applyFill="1" applyBorder="1" applyAlignment="1">
      <alignment horizontal="left" vertical="center"/>
    </xf>
    <xf numFmtId="0" fontId="0" fillId="9" borderId="0" xfId="0" applyFill="1"/>
    <xf numFmtId="0" fontId="4" fillId="2" borderId="17" xfId="0" applyFont="1" applyFill="1" applyBorder="1" applyAlignment="1">
      <alignment horizontal="left" vertical="top"/>
    </xf>
    <xf numFmtId="0" fontId="4" fillId="2" borderId="13" xfId="0" applyFont="1" applyFill="1" applyBorder="1" applyAlignment="1">
      <alignment horizontal="left" vertical="top"/>
    </xf>
    <xf numFmtId="0" fontId="4" fillId="2" borderId="14" xfId="0" applyFont="1" applyFill="1" applyBorder="1" applyAlignment="1">
      <alignment horizontal="left" vertical="top"/>
    </xf>
    <xf numFmtId="0" fontId="4" fillId="2" borderId="16" xfId="0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left" vertical="top"/>
    </xf>
    <xf numFmtId="0" fontId="4" fillId="2" borderId="11" xfId="0" applyFont="1" applyFill="1" applyBorder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4" fillId="2" borderId="15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0" fillId="3" borderId="33" xfId="0" applyFill="1" applyBorder="1"/>
    <xf numFmtId="0" fontId="3" fillId="2" borderId="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14" fontId="3" fillId="2" borderId="9" xfId="0" applyNumberFormat="1" applyFont="1" applyFill="1" applyBorder="1" applyAlignment="1">
      <alignment horizontal="center" vertical="center"/>
    </xf>
    <xf numFmtId="14" fontId="3" fillId="2" borderId="4" xfId="0" applyNumberFormat="1" applyFont="1" applyFill="1" applyBorder="1" applyAlignment="1">
      <alignment horizontal="center" vertical="center"/>
    </xf>
    <xf numFmtId="14" fontId="3" fillId="2" borderId="6" xfId="0" applyNumberFormat="1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left" vertical="center"/>
    </xf>
    <xf numFmtId="0" fontId="17" fillId="3" borderId="6" xfId="0" applyFont="1" applyFill="1" applyBorder="1" applyAlignment="1">
      <alignment horizontal="left" vertical="center"/>
    </xf>
    <xf numFmtId="0" fontId="17" fillId="3" borderId="17" xfId="0" applyFont="1" applyFill="1" applyBorder="1" applyAlignment="1">
      <alignment horizontal="left" vertical="center"/>
    </xf>
    <xf numFmtId="0" fontId="17" fillId="3" borderId="11" xfId="0" applyFont="1" applyFill="1" applyBorder="1" applyAlignment="1">
      <alignment horizontal="left" vertical="center"/>
    </xf>
    <xf numFmtId="0" fontId="17" fillId="8" borderId="13" xfId="0" applyFont="1" applyFill="1" applyBorder="1" applyAlignment="1">
      <alignment horizontal="center" vertical="center"/>
    </xf>
    <xf numFmtId="0" fontId="17" fillId="8" borderId="11" xfId="0" applyFont="1" applyFill="1" applyBorder="1" applyAlignment="1">
      <alignment horizontal="center" vertical="center"/>
    </xf>
    <xf numFmtId="0" fontId="17" fillId="3" borderId="13" xfId="0" applyFont="1" applyFill="1" applyBorder="1" applyAlignment="1">
      <alignment horizontal="left" vertical="center"/>
    </xf>
    <xf numFmtId="0" fontId="17" fillId="3" borderId="14" xfId="0" applyFont="1" applyFill="1" applyBorder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0" fontId="17" fillId="3" borderId="16" xfId="0" applyFont="1" applyFill="1" applyBorder="1" applyAlignment="1">
      <alignment horizontal="left" vertical="center"/>
    </xf>
    <xf numFmtId="0" fontId="17" fillId="3" borderId="2" xfId="0" applyFont="1" applyFill="1" applyBorder="1" applyAlignment="1">
      <alignment horizontal="left" vertical="center"/>
    </xf>
    <xf numFmtId="0" fontId="10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10" borderId="7" xfId="0" applyFont="1" applyFill="1" applyBorder="1" applyAlignment="1">
      <alignment horizontal="center" vertical="center"/>
    </xf>
    <xf numFmtId="0" fontId="23" fillId="11" borderId="13" xfId="0" applyFont="1" applyFill="1" applyBorder="1" applyAlignment="1">
      <alignment horizontal="center" vertical="center"/>
    </xf>
    <xf numFmtId="0" fontId="23" fillId="11" borderId="11" xfId="0" applyFont="1" applyFill="1" applyBorder="1" applyAlignment="1">
      <alignment horizontal="center" vertical="center"/>
    </xf>
    <xf numFmtId="0" fontId="23" fillId="11" borderId="0" xfId="0" applyFont="1" applyFill="1" applyBorder="1" applyAlignment="1">
      <alignment horizontal="center" vertical="center"/>
    </xf>
    <xf numFmtId="0" fontId="23" fillId="11" borderId="15" xfId="0" applyFont="1" applyFill="1" applyBorder="1" applyAlignment="1">
      <alignment horizontal="center" vertical="center"/>
    </xf>
    <xf numFmtId="0" fontId="23" fillId="11" borderId="2" xfId="0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14" fontId="9" fillId="11" borderId="4" xfId="0" applyNumberFormat="1" applyFont="1" applyFill="1" applyBorder="1" applyAlignment="1">
      <alignment horizontal="center" vertical="center"/>
    </xf>
    <xf numFmtId="14" fontId="9" fillId="11" borderId="6" xfId="0" applyNumberFormat="1" applyFont="1" applyFill="1" applyBorder="1" applyAlignment="1">
      <alignment horizontal="center" vertical="center"/>
    </xf>
    <xf numFmtId="168" fontId="9" fillId="11" borderId="4" xfId="0" applyNumberFormat="1" applyFont="1" applyFill="1" applyBorder="1" applyAlignment="1">
      <alignment horizontal="center" vertical="center"/>
    </xf>
    <xf numFmtId="168" fontId="9" fillId="11" borderId="6" xfId="0" applyNumberFormat="1" applyFont="1" applyFill="1" applyBorder="1" applyAlignment="1">
      <alignment horizontal="center" vertical="center"/>
    </xf>
    <xf numFmtId="14" fontId="11" fillId="11" borderId="24" xfId="0" applyNumberFormat="1" applyFont="1" applyFill="1" applyBorder="1" applyAlignment="1">
      <alignment vertical="center"/>
    </xf>
    <xf numFmtId="1" fontId="17" fillId="11" borderId="11" xfId="0" applyNumberFormat="1" applyFont="1" applyFill="1" applyBorder="1" applyAlignment="1">
      <alignment horizontal="center"/>
    </xf>
    <xf numFmtId="1" fontId="17" fillId="11" borderId="15" xfId="0" applyNumberFormat="1" applyFont="1" applyFill="1" applyBorder="1" applyAlignment="1">
      <alignment horizontal="center"/>
    </xf>
    <xf numFmtId="1" fontId="17" fillId="11" borderId="1" xfId="0" applyNumberFormat="1" applyFont="1" applyFill="1" applyBorder="1" applyAlignment="1">
      <alignment horizontal="center"/>
    </xf>
    <xf numFmtId="165" fontId="17" fillId="11" borderId="11" xfId="0" applyNumberFormat="1" applyFont="1" applyFill="1" applyBorder="1" applyAlignment="1">
      <alignment horizontal="center" vertical="center"/>
    </xf>
    <xf numFmtId="166" fontId="17" fillId="11" borderId="15" xfId="0" applyNumberFormat="1" applyFont="1" applyFill="1" applyBorder="1" applyAlignment="1">
      <alignment horizontal="center" vertical="center"/>
    </xf>
    <xf numFmtId="165" fontId="17" fillId="11" borderId="0" xfId="0" applyNumberFormat="1" applyFont="1" applyFill="1" applyAlignment="1">
      <alignment horizontal="right"/>
    </xf>
    <xf numFmtId="165" fontId="17" fillId="11" borderId="15" xfId="0" applyNumberFormat="1" applyFont="1" applyFill="1" applyBorder="1" applyAlignment="1">
      <alignment horizontal="right"/>
    </xf>
    <xf numFmtId="166" fontId="20" fillId="11" borderId="2" xfId="0" applyNumberFormat="1" applyFont="1" applyFill="1" applyBorder="1" applyAlignment="1">
      <alignment horizontal="right"/>
    </xf>
    <xf numFmtId="166" fontId="20" fillId="11" borderId="1" xfId="0" applyNumberFormat="1" applyFont="1" applyFill="1" applyBorder="1" applyAlignment="1">
      <alignment horizontal="right"/>
    </xf>
    <xf numFmtId="165" fontId="17" fillId="11" borderId="0" xfId="0" applyNumberFormat="1" applyFont="1" applyFill="1" applyAlignment="1">
      <alignment horizontal="right" vertical="center"/>
    </xf>
    <xf numFmtId="165" fontId="17" fillId="11" borderId="15" xfId="0" applyNumberFormat="1" applyFont="1" applyFill="1" applyBorder="1" applyAlignment="1">
      <alignment horizontal="right" vertical="center"/>
    </xf>
    <xf numFmtId="166" fontId="20" fillId="11" borderId="2" xfId="0" applyNumberFormat="1" applyFont="1" applyFill="1" applyBorder="1" applyAlignment="1">
      <alignment horizontal="right" vertical="center"/>
    </xf>
    <xf numFmtId="166" fontId="20" fillId="11" borderId="1" xfId="0" applyNumberFormat="1" applyFont="1" applyFill="1" applyBorder="1" applyAlignment="1">
      <alignment horizontal="right" vertical="center"/>
    </xf>
    <xf numFmtId="1" fontId="3" fillId="4" borderId="9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1" fontId="3" fillId="4" borderId="6" xfId="0" applyNumberFormat="1" applyFont="1" applyFill="1" applyBorder="1" applyAlignment="1">
      <alignment horizontal="center" vertical="center"/>
    </xf>
    <xf numFmtId="0" fontId="0" fillId="11" borderId="9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1" borderId="6" xfId="0" applyFill="1" applyBorder="1" applyAlignment="1">
      <alignment horizontal="center"/>
    </xf>
    <xf numFmtId="0" fontId="0" fillId="12" borderId="0" xfId="0" applyFill="1" applyAlignment="1">
      <alignment horizontal="center"/>
    </xf>
    <xf numFmtId="0" fontId="23" fillId="11" borderId="17" xfId="0" applyFont="1" applyFill="1" applyBorder="1" applyAlignment="1">
      <alignment horizontal="center" vertical="center"/>
    </xf>
    <xf numFmtId="0" fontId="23" fillId="11" borderId="14" xfId="0" applyFont="1" applyFill="1" applyBorder="1" applyAlignment="1">
      <alignment horizontal="center" vertical="center"/>
    </xf>
    <xf numFmtId="0" fontId="23" fillId="11" borderId="16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7222F5CE-F912-A14E-885C-20BAA7A0D55B}"/>
  </cellStyles>
  <dxfs count="0"/>
  <tableStyles count="0" defaultTableStyle="TableStyleMedium2" defaultPivotStyle="PivotStyleLight16"/>
  <colors>
    <mruColors>
      <color rgb="FFFFFE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692FA-4504-2847-8060-0EEE7AA95510}">
  <dimension ref="A1:J98"/>
  <sheetViews>
    <sheetView showZeros="0" tabSelected="1" view="pageLayout" zoomScale="157" zoomScaleNormal="100" zoomScalePageLayoutView="157" workbookViewId="0">
      <selection activeCell="C1" sqref="C1:H4"/>
    </sheetView>
  </sheetViews>
  <sheetFormatPr baseColWidth="10" defaultRowHeight="16" x14ac:dyDescent="0.2"/>
  <cols>
    <col min="1" max="1" width="11" customWidth="1"/>
    <col min="2" max="9" width="7.5" customWidth="1"/>
    <col min="10" max="10" width="10.5" customWidth="1"/>
  </cols>
  <sheetData>
    <row r="1" spans="1:10" ht="16" customHeight="1" x14ac:dyDescent="0.2">
      <c r="A1" s="141"/>
      <c r="B1" s="110"/>
      <c r="C1" s="110"/>
      <c r="D1" s="110"/>
      <c r="E1" s="110"/>
      <c r="F1" s="110"/>
      <c r="G1" s="110"/>
      <c r="H1" s="111"/>
      <c r="I1" s="101" t="s">
        <v>12</v>
      </c>
      <c r="J1" s="102"/>
    </row>
    <row r="2" spans="1:10" ht="16" customHeight="1" x14ac:dyDescent="0.2">
      <c r="A2" s="142"/>
      <c r="B2" s="112"/>
      <c r="C2" s="112"/>
      <c r="D2" s="112"/>
      <c r="E2" s="112"/>
      <c r="F2" s="112"/>
      <c r="G2" s="112"/>
      <c r="H2" s="113"/>
      <c r="I2" s="103" t="s">
        <v>13</v>
      </c>
      <c r="J2" s="104"/>
    </row>
    <row r="3" spans="1:10" ht="16" customHeight="1" x14ac:dyDescent="0.2">
      <c r="A3" s="142"/>
      <c r="B3" s="112"/>
      <c r="C3" s="112"/>
      <c r="D3" s="112"/>
      <c r="E3" s="112"/>
      <c r="F3" s="112"/>
      <c r="G3" s="112"/>
      <c r="H3" s="113"/>
      <c r="I3" s="105" t="s">
        <v>14</v>
      </c>
      <c r="J3" s="106"/>
    </row>
    <row r="4" spans="1:10" ht="16" customHeight="1" x14ac:dyDescent="0.2">
      <c r="A4" s="143"/>
      <c r="B4" s="114"/>
      <c r="C4" s="114"/>
      <c r="D4" s="114"/>
      <c r="E4" s="114"/>
      <c r="F4" s="114"/>
      <c r="G4" s="114"/>
      <c r="H4" s="115"/>
      <c r="I4" s="107" t="s">
        <v>15</v>
      </c>
      <c r="J4" s="108"/>
    </row>
    <row r="5" spans="1:10" ht="9" customHeight="1" x14ac:dyDescent="0.2">
      <c r="A5" s="8"/>
      <c r="B5" s="8"/>
      <c r="C5" s="8"/>
      <c r="D5" s="8"/>
      <c r="E5" s="8"/>
      <c r="F5" s="8"/>
      <c r="G5" s="8"/>
      <c r="H5" s="8"/>
      <c r="I5" s="8"/>
      <c r="J5" s="8"/>
    </row>
    <row r="6" spans="1:10" ht="19" x14ac:dyDescent="0.25">
      <c r="A6" s="77" t="s">
        <v>16</v>
      </c>
      <c r="B6" s="78"/>
      <c r="C6" s="78"/>
      <c r="D6" s="78"/>
      <c r="E6" s="78"/>
      <c r="F6" s="78"/>
      <c r="G6" s="78"/>
      <c r="H6" s="78"/>
      <c r="I6" s="78"/>
      <c r="J6" s="79"/>
    </row>
    <row r="7" spans="1:10" ht="9" customHeight="1" x14ac:dyDescent="0.2">
      <c r="A7" s="8"/>
      <c r="B7" s="8"/>
      <c r="C7" s="8"/>
      <c r="D7" s="8"/>
      <c r="E7" s="8"/>
      <c r="F7" s="8"/>
      <c r="G7" s="8"/>
      <c r="H7" s="8"/>
      <c r="I7" s="8"/>
      <c r="J7" s="8"/>
    </row>
    <row r="8" spans="1:10" x14ac:dyDescent="0.2">
      <c r="A8" s="109" t="s">
        <v>17</v>
      </c>
      <c r="B8" s="137"/>
      <c r="C8" s="138"/>
      <c r="D8" s="138"/>
      <c r="E8" s="138"/>
      <c r="F8" s="138"/>
      <c r="G8" s="138"/>
      <c r="H8" s="138"/>
      <c r="I8" s="138"/>
      <c r="J8" s="139"/>
    </row>
    <row r="9" spans="1:10" ht="9" customHeight="1" x14ac:dyDescent="0.2">
      <c r="A9" s="8"/>
      <c r="B9" s="8"/>
      <c r="C9" s="8"/>
      <c r="D9" s="8"/>
      <c r="E9" s="8"/>
      <c r="F9" s="8"/>
      <c r="G9" s="8"/>
      <c r="H9" s="8"/>
      <c r="I9" s="8"/>
      <c r="J9" s="8"/>
    </row>
    <row r="10" spans="1:10" x14ac:dyDescent="0.2">
      <c r="A10" s="9" t="s">
        <v>18</v>
      </c>
      <c r="B10" s="116"/>
      <c r="C10" s="117"/>
      <c r="D10" s="8"/>
      <c r="E10" s="8"/>
      <c r="F10" s="8"/>
      <c r="G10" s="8"/>
      <c r="H10" s="9" t="s">
        <v>19</v>
      </c>
      <c r="I10" s="118">
        <f>B10</f>
        <v>0</v>
      </c>
      <c r="J10" s="119"/>
    </row>
    <row r="11" spans="1:10" ht="9" customHeight="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2">
      <c r="A12" s="10"/>
      <c r="B12" s="80" t="s">
        <v>1</v>
      </c>
      <c r="C12" s="81"/>
      <c r="D12" s="81"/>
      <c r="E12" s="82"/>
      <c r="F12" s="83" t="s">
        <v>2</v>
      </c>
      <c r="G12" s="81"/>
      <c r="H12" s="81"/>
      <c r="I12" s="84"/>
      <c r="J12" s="8"/>
    </row>
    <row r="13" spans="1:10" ht="16" customHeight="1" x14ac:dyDescent="0.2">
      <c r="A13" s="11"/>
      <c r="B13" s="71" t="s">
        <v>9</v>
      </c>
      <c r="C13" s="72"/>
      <c r="D13" s="2" t="s">
        <v>3</v>
      </c>
      <c r="E13" s="3" t="s">
        <v>20</v>
      </c>
      <c r="F13" s="73" t="s">
        <v>9</v>
      </c>
      <c r="G13" s="72"/>
      <c r="H13" s="2" t="s">
        <v>3</v>
      </c>
      <c r="I13" s="2" t="s">
        <v>10</v>
      </c>
      <c r="J13" s="8"/>
    </row>
    <row r="14" spans="1:10" ht="16" customHeight="1" x14ac:dyDescent="0.2">
      <c r="A14" s="10" t="s">
        <v>0</v>
      </c>
      <c r="B14" s="2" t="s">
        <v>11</v>
      </c>
      <c r="C14" s="2" t="s">
        <v>4</v>
      </c>
      <c r="D14" s="2" t="s">
        <v>11</v>
      </c>
      <c r="E14" s="3" t="s">
        <v>4</v>
      </c>
      <c r="F14" s="1" t="s">
        <v>4</v>
      </c>
      <c r="G14" s="2" t="s">
        <v>5</v>
      </c>
      <c r="H14" s="2" t="s">
        <v>4</v>
      </c>
      <c r="I14" s="2"/>
      <c r="J14" s="8"/>
    </row>
    <row r="15" spans="1:10" x14ac:dyDescent="0.2">
      <c r="A15" s="4" t="s">
        <v>6</v>
      </c>
      <c r="B15" s="5"/>
      <c r="C15" s="5"/>
      <c r="D15" s="5"/>
      <c r="E15" s="6"/>
      <c r="F15" s="7"/>
      <c r="G15" s="5"/>
      <c r="H15" s="5"/>
      <c r="I15" s="2"/>
      <c r="J15" s="8"/>
    </row>
    <row r="16" spans="1:10" x14ac:dyDescent="0.2">
      <c r="A16" s="4" t="s">
        <v>7</v>
      </c>
      <c r="B16" s="5"/>
      <c r="C16" s="5"/>
      <c r="D16" s="5"/>
      <c r="E16" s="6"/>
      <c r="F16" s="7"/>
      <c r="G16" s="5"/>
      <c r="H16" s="5"/>
      <c r="I16" s="2"/>
      <c r="J16" s="8"/>
    </row>
    <row r="17" spans="1:10" x14ac:dyDescent="0.2">
      <c r="A17" s="4" t="s">
        <v>8</v>
      </c>
      <c r="B17" s="134">
        <f>(SUM(B15:E15)*0.33+SUM(F15:I15)*0.75)</f>
        <v>0</v>
      </c>
      <c r="C17" s="135"/>
      <c r="D17" s="135"/>
      <c r="E17" s="135"/>
      <c r="F17" s="135"/>
      <c r="G17" s="135"/>
      <c r="H17" s="135"/>
      <c r="I17" s="136"/>
      <c r="J17" s="8"/>
    </row>
    <row r="18" spans="1:10" ht="9" customHeight="1" x14ac:dyDescent="0.2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0" ht="19" x14ac:dyDescent="0.25">
      <c r="A19" s="77" t="s">
        <v>21</v>
      </c>
      <c r="B19" s="78"/>
      <c r="C19" s="78"/>
      <c r="D19" s="78"/>
      <c r="E19" s="78"/>
      <c r="F19" s="78"/>
      <c r="G19" s="78"/>
      <c r="H19" s="78"/>
      <c r="I19" s="78"/>
      <c r="J19" s="79"/>
    </row>
    <row r="20" spans="1:10" ht="16" customHeight="1" x14ac:dyDescent="0.2">
      <c r="A20" s="12" t="s">
        <v>22</v>
      </c>
      <c r="B20" s="12" t="s">
        <v>23</v>
      </c>
      <c r="C20" s="26" t="s">
        <v>24</v>
      </c>
      <c r="D20" s="27" t="s">
        <v>25</v>
      </c>
      <c r="E20" s="13" t="s">
        <v>26</v>
      </c>
      <c r="F20" s="14" t="s">
        <v>27</v>
      </c>
      <c r="G20" s="98" t="s">
        <v>28</v>
      </c>
      <c r="H20" s="99"/>
      <c r="I20" s="100"/>
      <c r="J20" s="22" t="s">
        <v>29</v>
      </c>
    </row>
    <row r="21" spans="1:10" x14ac:dyDescent="0.2">
      <c r="A21" s="120"/>
      <c r="B21" s="23"/>
      <c r="C21" s="24"/>
      <c r="D21" s="24"/>
      <c r="E21" s="17"/>
      <c r="F21" s="21" t="s">
        <v>30</v>
      </c>
      <c r="G21" s="96"/>
      <c r="H21" s="97"/>
      <c r="I21" s="97"/>
      <c r="J21" s="33"/>
    </row>
    <row r="22" spans="1:10" x14ac:dyDescent="0.2">
      <c r="A22" s="18"/>
      <c r="B22" s="19"/>
      <c r="C22" s="20"/>
      <c r="D22" s="20"/>
      <c r="E22" s="17"/>
      <c r="F22" s="21" t="s">
        <v>30</v>
      </c>
      <c r="G22" s="96"/>
      <c r="H22" s="97"/>
      <c r="I22" s="97"/>
      <c r="J22" s="33"/>
    </row>
    <row r="23" spans="1:10" x14ac:dyDescent="0.2">
      <c r="A23" s="15"/>
      <c r="B23" s="16"/>
      <c r="C23" s="20"/>
      <c r="D23" s="20"/>
      <c r="E23" s="29"/>
      <c r="F23" s="31" t="s">
        <v>30</v>
      </c>
      <c r="G23" s="96"/>
      <c r="H23" s="97"/>
      <c r="I23" s="97"/>
      <c r="J23" s="33"/>
    </row>
    <row r="24" spans="1:10" x14ac:dyDescent="0.2">
      <c r="A24" s="15"/>
      <c r="B24" s="25"/>
      <c r="C24" s="20"/>
      <c r="D24" s="28"/>
      <c r="E24" s="30"/>
      <c r="F24" s="32" t="s">
        <v>30</v>
      </c>
      <c r="G24" s="96"/>
      <c r="H24" s="97"/>
      <c r="I24" s="97"/>
      <c r="J24" s="33"/>
    </row>
    <row r="25" spans="1:10" ht="8" customHeight="1" thickBot="1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0" ht="17" thickBot="1" x14ac:dyDescent="0.25">
      <c r="A26" s="34" t="s">
        <v>31</v>
      </c>
      <c r="B26" s="8"/>
      <c r="C26" s="70"/>
      <c r="D26" s="35" t="s">
        <v>32</v>
      </c>
      <c r="E26" s="8"/>
      <c r="F26" s="8"/>
      <c r="G26" s="8"/>
      <c r="H26" s="8"/>
      <c r="I26" s="8"/>
      <c r="J26" s="8"/>
    </row>
    <row r="27" spans="1:10" ht="17" thickBot="1" x14ac:dyDescent="0.25">
      <c r="A27" s="8"/>
      <c r="B27" s="8"/>
      <c r="C27" s="70"/>
      <c r="D27" s="35" t="s">
        <v>33</v>
      </c>
      <c r="E27" s="8"/>
      <c r="F27" s="8"/>
      <c r="G27" s="8"/>
      <c r="H27" s="8"/>
      <c r="I27" s="8"/>
      <c r="J27" s="8"/>
    </row>
    <row r="28" spans="1:10" ht="8" customHeight="1" x14ac:dyDescent="0.2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0" x14ac:dyDescent="0.2">
      <c r="A29" s="36" t="s">
        <v>38</v>
      </c>
      <c r="B29" s="36"/>
      <c r="C29" s="36"/>
      <c r="D29" s="36"/>
      <c r="E29" s="36"/>
      <c r="F29" s="36"/>
      <c r="G29" s="36" t="s">
        <v>55</v>
      </c>
      <c r="H29" s="36"/>
      <c r="J29" s="37"/>
    </row>
    <row r="30" spans="1:10" x14ac:dyDescent="0.2">
      <c r="A30" s="87" t="s">
        <v>34</v>
      </c>
      <c r="B30" s="91"/>
      <c r="C30" s="121"/>
      <c r="D30" s="8"/>
      <c r="E30" s="8"/>
      <c r="F30" s="8"/>
      <c r="G30" s="85" t="s">
        <v>59</v>
      </c>
      <c r="H30" s="86"/>
      <c r="I30" s="54" t="s">
        <v>60</v>
      </c>
      <c r="J30" s="54" t="s">
        <v>61</v>
      </c>
    </row>
    <row r="31" spans="1:10" x14ac:dyDescent="0.2">
      <c r="A31" s="92" t="s">
        <v>35</v>
      </c>
      <c r="B31" s="93"/>
      <c r="C31" s="122"/>
      <c r="D31" s="43"/>
      <c r="E31" s="44"/>
      <c r="F31" s="8"/>
      <c r="G31" s="87" t="s">
        <v>56</v>
      </c>
      <c r="H31" s="88"/>
      <c r="I31" s="51">
        <f>SUM(B15:E15)</f>
        <v>0</v>
      </c>
      <c r="J31" s="57">
        <f>I31/3610</f>
        <v>0</v>
      </c>
    </row>
    <row r="32" spans="1:10" x14ac:dyDescent="0.2">
      <c r="A32" s="92" t="s">
        <v>36</v>
      </c>
      <c r="B32" s="93"/>
      <c r="C32" s="122"/>
      <c r="D32" s="8"/>
      <c r="E32" s="8"/>
      <c r="F32" s="8"/>
      <c r="G32" s="38" t="s">
        <v>57</v>
      </c>
      <c r="H32" s="40"/>
      <c r="I32" s="51">
        <f>G15+H15</f>
        <v>0</v>
      </c>
      <c r="J32" s="55">
        <f>I32/1421</f>
        <v>0</v>
      </c>
    </row>
    <row r="33" spans="1:10" x14ac:dyDescent="0.2">
      <c r="A33" s="94" t="s">
        <v>37</v>
      </c>
      <c r="B33" s="95"/>
      <c r="C33" s="123"/>
      <c r="D33" s="8"/>
      <c r="E33" s="8"/>
      <c r="F33" s="8"/>
      <c r="G33" s="41" t="s">
        <v>58</v>
      </c>
      <c r="H33" s="42"/>
      <c r="I33" s="52">
        <f>F15</f>
        <v>0</v>
      </c>
      <c r="J33" s="58">
        <f>I33/1421</f>
        <v>0</v>
      </c>
    </row>
    <row r="34" spans="1:10" ht="9" customHeight="1" x14ac:dyDescent="0.2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spans="1:10" x14ac:dyDescent="0.2">
      <c r="A35" s="87" t="s">
        <v>39</v>
      </c>
      <c r="B35" s="91"/>
      <c r="C35" s="124"/>
      <c r="D35" s="8"/>
      <c r="E35" s="8"/>
      <c r="F35" s="8"/>
      <c r="G35" s="53" t="s">
        <v>62</v>
      </c>
      <c r="H35" s="59"/>
      <c r="I35" s="54">
        <f>F17</f>
        <v>0</v>
      </c>
      <c r="J35" s="56">
        <f>I35/1421</f>
        <v>0</v>
      </c>
    </row>
    <row r="36" spans="1:10" x14ac:dyDescent="0.2">
      <c r="A36" s="92" t="s">
        <v>40</v>
      </c>
      <c r="B36" s="93"/>
      <c r="C36" s="125"/>
      <c r="D36" s="8"/>
      <c r="E36" s="8"/>
      <c r="F36" s="8"/>
      <c r="G36" s="8"/>
      <c r="H36" s="8"/>
      <c r="I36" s="8"/>
      <c r="J36" s="8"/>
    </row>
    <row r="37" spans="1:10" x14ac:dyDescent="0.2">
      <c r="A37" s="92" t="s">
        <v>41</v>
      </c>
      <c r="B37" s="93"/>
      <c r="C37" s="45" t="s">
        <v>42</v>
      </c>
      <c r="D37" s="8"/>
      <c r="E37" s="8"/>
      <c r="F37" s="8"/>
      <c r="G37" s="8"/>
      <c r="H37" s="8"/>
      <c r="I37" s="8"/>
      <c r="J37" s="8"/>
    </row>
    <row r="38" spans="1:10" x14ac:dyDescent="0.2">
      <c r="A38" s="94" t="s">
        <v>43</v>
      </c>
      <c r="B38" s="95"/>
      <c r="C38" s="46" t="s">
        <v>44</v>
      </c>
      <c r="D38" s="8"/>
      <c r="E38" s="8"/>
      <c r="F38" s="8"/>
      <c r="G38" s="8"/>
      <c r="H38" s="8"/>
      <c r="I38" s="8"/>
      <c r="J38" s="8"/>
    </row>
    <row r="39" spans="1:10" ht="9" customHeight="1" x14ac:dyDescent="0.2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spans="1:10" x14ac:dyDescent="0.2">
      <c r="A40" s="36" t="s">
        <v>45</v>
      </c>
      <c r="B40" s="37"/>
      <c r="C40" s="37"/>
      <c r="D40" s="37"/>
      <c r="E40" s="37"/>
      <c r="F40" s="37"/>
      <c r="G40" s="37"/>
      <c r="H40" s="37"/>
      <c r="I40" s="37"/>
      <c r="J40" s="8"/>
    </row>
    <row r="41" spans="1:10" x14ac:dyDescent="0.2">
      <c r="A41" s="48" t="str">
        <f>A8</f>
        <v>Produit  :</v>
      </c>
      <c r="B41" s="89"/>
      <c r="C41" s="89"/>
      <c r="D41" s="90"/>
      <c r="E41" s="8"/>
      <c r="F41" s="8"/>
      <c r="G41" s="8"/>
      <c r="H41" s="8"/>
      <c r="I41" s="8"/>
      <c r="J41" s="8"/>
    </row>
    <row r="42" spans="1:10" x14ac:dyDescent="0.2">
      <c r="A42" s="47" t="s">
        <v>46</v>
      </c>
      <c r="B42" s="126"/>
      <c r="C42" s="126"/>
      <c r="D42" s="127"/>
      <c r="E42" s="8"/>
      <c r="F42" s="8"/>
      <c r="G42" s="8"/>
      <c r="H42" s="8"/>
      <c r="I42" s="8"/>
      <c r="J42" s="8"/>
    </row>
    <row r="43" spans="1:10" x14ac:dyDescent="0.2">
      <c r="A43" s="47" t="s">
        <v>47</v>
      </c>
      <c r="B43" s="126"/>
      <c r="C43" s="126"/>
      <c r="D43" s="127"/>
      <c r="E43" s="8"/>
      <c r="F43" s="8"/>
      <c r="G43" s="8"/>
      <c r="H43" s="8"/>
      <c r="I43" s="8"/>
      <c r="J43" s="8"/>
    </row>
    <row r="44" spans="1:10" x14ac:dyDescent="0.2">
      <c r="A44" s="39" t="s">
        <v>48</v>
      </c>
      <c r="B44" s="128"/>
      <c r="C44" s="128"/>
      <c r="D44" s="129"/>
      <c r="E44" s="8"/>
      <c r="F44" s="8"/>
      <c r="G44" s="8"/>
      <c r="H44" s="8"/>
      <c r="I44" s="8"/>
      <c r="J44" s="8"/>
    </row>
    <row r="45" spans="1:10" ht="8" customHeight="1" x14ac:dyDescent="0.2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0" x14ac:dyDescent="0.2">
      <c r="A46" s="36" t="s">
        <v>50</v>
      </c>
      <c r="B46" s="37"/>
      <c r="C46" s="37"/>
      <c r="D46" s="37"/>
      <c r="E46" s="8"/>
      <c r="F46" s="8"/>
      <c r="G46" s="8"/>
      <c r="H46" s="8"/>
      <c r="I46" s="8"/>
      <c r="J46" s="8"/>
    </row>
    <row r="47" spans="1:10" x14ac:dyDescent="0.2">
      <c r="A47" s="48" t="str">
        <f>A14</f>
        <v>Quantité</v>
      </c>
      <c r="B47" s="89"/>
      <c r="C47" s="89"/>
      <c r="D47" s="90"/>
      <c r="E47" s="8"/>
      <c r="F47" s="8"/>
      <c r="G47" s="8"/>
      <c r="H47" s="8"/>
      <c r="I47" s="8"/>
      <c r="J47" s="8"/>
    </row>
    <row r="48" spans="1:10" x14ac:dyDescent="0.2">
      <c r="A48" s="47" t="s">
        <v>52</v>
      </c>
      <c r="B48" s="130"/>
      <c r="C48" s="130"/>
      <c r="D48" s="131"/>
      <c r="E48" s="8"/>
      <c r="F48" s="8"/>
      <c r="G48" s="8"/>
      <c r="H48" s="8"/>
      <c r="I48" s="8"/>
      <c r="J48" s="8"/>
    </row>
    <row r="49" spans="1:10" x14ac:dyDescent="0.2">
      <c r="A49" s="39" t="s">
        <v>48</v>
      </c>
      <c r="B49" s="132"/>
      <c r="C49" s="132"/>
      <c r="D49" s="133"/>
      <c r="E49" s="8"/>
      <c r="F49" s="8"/>
      <c r="G49" s="8"/>
      <c r="H49" s="8"/>
      <c r="I49" s="8"/>
      <c r="J49" s="8"/>
    </row>
    <row r="50" spans="1:10" x14ac:dyDescent="0.2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0" x14ac:dyDescent="0.2">
      <c r="A51" s="49" t="s">
        <v>51</v>
      </c>
      <c r="B51" s="8"/>
      <c r="C51" s="8"/>
      <c r="D51" s="8"/>
      <c r="E51" s="8"/>
      <c r="F51" s="8"/>
      <c r="G51" s="8"/>
      <c r="H51" s="8"/>
      <c r="I51" s="8"/>
      <c r="J51" s="8"/>
    </row>
    <row r="52" spans="1:10" x14ac:dyDescent="0.2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0" x14ac:dyDescent="0.2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0" x14ac:dyDescent="0.2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0" x14ac:dyDescent="0.2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spans="1:10" x14ac:dyDescent="0.2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spans="1:10" x14ac:dyDescent="0.2">
      <c r="A57" s="8"/>
      <c r="B57" s="8"/>
      <c r="C57" s="8"/>
      <c r="D57" s="8"/>
      <c r="E57" s="8"/>
      <c r="F57" s="8"/>
      <c r="G57" s="35" t="s">
        <v>53</v>
      </c>
      <c r="H57" s="8"/>
      <c r="I57" s="8"/>
      <c r="J57" s="50">
        <f>A21</f>
        <v>0</v>
      </c>
    </row>
    <row r="58" spans="1:10" x14ac:dyDescent="0.2">
      <c r="A58" s="8"/>
      <c r="B58" s="8"/>
      <c r="C58" s="8"/>
      <c r="D58" s="8"/>
      <c r="E58" s="8"/>
      <c r="F58" s="8"/>
      <c r="G58" s="8"/>
      <c r="H58" s="8"/>
      <c r="I58" s="8"/>
      <c r="J58" s="8"/>
    </row>
    <row r="59" spans="1:10" ht="19" x14ac:dyDescent="0.25">
      <c r="A59" s="77" t="s">
        <v>54</v>
      </c>
      <c r="B59" s="78"/>
      <c r="C59" s="78"/>
      <c r="D59" s="78"/>
      <c r="E59" s="78"/>
      <c r="F59" s="78"/>
      <c r="G59" s="78"/>
      <c r="H59" s="78"/>
      <c r="I59" s="78"/>
      <c r="J59" s="79"/>
    </row>
    <row r="60" spans="1:10" x14ac:dyDescent="0.2">
      <c r="A60" s="8"/>
      <c r="B60" s="8"/>
      <c r="C60" s="8"/>
      <c r="D60" s="8"/>
      <c r="E60" s="8"/>
      <c r="F60" s="8"/>
      <c r="G60" s="8"/>
      <c r="H60" s="8"/>
      <c r="I60" s="8"/>
      <c r="J60" s="8"/>
    </row>
    <row r="61" spans="1:10" x14ac:dyDescent="0.2">
      <c r="A61" s="8"/>
      <c r="B61" s="60" t="str">
        <f>A8</f>
        <v>Produit  :</v>
      </c>
      <c r="C61" s="140">
        <f>B8</f>
        <v>0</v>
      </c>
      <c r="D61" s="140"/>
      <c r="E61" s="140"/>
      <c r="F61" s="140"/>
      <c r="G61" s="8"/>
      <c r="H61" s="8"/>
      <c r="I61" s="8"/>
      <c r="J61" s="8"/>
    </row>
    <row r="62" spans="1:10" x14ac:dyDescent="0.2">
      <c r="A62" s="8"/>
      <c r="B62" s="8"/>
      <c r="C62" s="8"/>
      <c r="D62" s="8"/>
      <c r="E62" s="8"/>
      <c r="F62" s="8"/>
      <c r="G62" s="8"/>
      <c r="H62" s="8"/>
      <c r="I62" s="8"/>
      <c r="J62" s="8"/>
    </row>
    <row r="63" spans="1:10" x14ac:dyDescent="0.2">
      <c r="A63" s="10"/>
      <c r="B63" s="80" t="s">
        <v>1</v>
      </c>
      <c r="C63" s="81"/>
      <c r="D63" s="81"/>
      <c r="E63" s="82"/>
      <c r="F63" s="83" t="s">
        <v>2</v>
      </c>
      <c r="G63" s="81"/>
      <c r="H63" s="81"/>
      <c r="I63" s="84"/>
      <c r="J63" s="8"/>
    </row>
    <row r="64" spans="1:10" x14ac:dyDescent="0.2">
      <c r="A64" s="11"/>
      <c r="B64" s="71" t="s">
        <v>9</v>
      </c>
      <c r="C64" s="72"/>
      <c r="D64" s="2" t="s">
        <v>3</v>
      </c>
      <c r="E64" s="3" t="s">
        <v>20</v>
      </c>
      <c r="F64" s="73" t="s">
        <v>9</v>
      </c>
      <c r="G64" s="72"/>
      <c r="H64" s="2" t="s">
        <v>3</v>
      </c>
      <c r="I64" s="2" t="s">
        <v>10</v>
      </c>
      <c r="J64" s="8"/>
    </row>
    <row r="65" spans="1:10" x14ac:dyDescent="0.2">
      <c r="A65" s="10" t="s">
        <v>0</v>
      </c>
      <c r="B65" s="2" t="s">
        <v>11</v>
      </c>
      <c r="C65" s="2" t="s">
        <v>4</v>
      </c>
      <c r="D65" s="2" t="s">
        <v>11</v>
      </c>
      <c r="E65" s="3" t="s">
        <v>4</v>
      </c>
      <c r="F65" s="1" t="s">
        <v>4</v>
      </c>
      <c r="G65" s="2" t="s">
        <v>5</v>
      </c>
      <c r="H65" s="2" t="s">
        <v>4</v>
      </c>
      <c r="I65" s="2"/>
      <c r="J65" s="8"/>
    </row>
    <row r="66" spans="1:10" x14ac:dyDescent="0.2">
      <c r="A66" s="4" t="s">
        <v>6</v>
      </c>
      <c r="B66" s="2">
        <f>B15</f>
        <v>0</v>
      </c>
      <c r="C66" s="2">
        <f t="shared" ref="C66:I67" si="0">C15</f>
        <v>0</v>
      </c>
      <c r="D66" s="2">
        <f t="shared" si="0"/>
        <v>0</v>
      </c>
      <c r="E66" s="3">
        <f t="shared" si="0"/>
        <v>0</v>
      </c>
      <c r="F66" s="1">
        <f t="shared" si="0"/>
        <v>0</v>
      </c>
      <c r="G66" s="2">
        <f t="shared" si="0"/>
        <v>0</v>
      </c>
      <c r="H66" s="2">
        <f t="shared" si="0"/>
        <v>0</v>
      </c>
      <c r="I66" s="2">
        <f t="shared" si="0"/>
        <v>0</v>
      </c>
      <c r="J66" s="8"/>
    </row>
    <row r="67" spans="1:10" x14ac:dyDescent="0.2">
      <c r="A67" s="4" t="s">
        <v>7</v>
      </c>
      <c r="B67" s="2">
        <f>B16</f>
        <v>0</v>
      </c>
      <c r="C67" s="2">
        <f t="shared" si="0"/>
        <v>0</v>
      </c>
      <c r="D67" s="2">
        <f t="shared" si="0"/>
        <v>0</v>
      </c>
      <c r="E67" s="3">
        <f t="shared" si="0"/>
        <v>0</v>
      </c>
      <c r="F67" s="1">
        <f t="shared" si="0"/>
        <v>0</v>
      </c>
      <c r="G67" s="2">
        <f t="shared" si="0"/>
        <v>0</v>
      </c>
      <c r="H67" s="2">
        <f t="shared" si="0"/>
        <v>0</v>
      </c>
      <c r="I67" s="2">
        <f t="shared" si="0"/>
        <v>0</v>
      </c>
      <c r="J67" s="8"/>
    </row>
    <row r="68" spans="1:10" x14ac:dyDescent="0.2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0" ht="19" x14ac:dyDescent="0.25">
      <c r="A69" s="77" t="s">
        <v>63</v>
      </c>
      <c r="B69" s="78"/>
      <c r="C69" s="78"/>
      <c r="D69" s="78"/>
      <c r="E69" s="78"/>
      <c r="F69" s="78"/>
      <c r="G69" s="78"/>
      <c r="H69" s="78"/>
      <c r="I69" s="78"/>
      <c r="J69" s="79"/>
    </row>
    <row r="70" spans="1:10" x14ac:dyDescent="0.2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0" x14ac:dyDescent="0.2">
      <c r="A71" s="8"/>
      <c r="B71" s="60" t="str">
        <f>B61</f>
        <v>Produit  :</v>
      </c>
      <c r="C71" s="140">
        <f>C61</f>
        <v>0</v>
      </c>
      <c r="D71" s="140"/>
      <c r="E71" s="140"/>
      <c r="F71" s="140"/>
      <c r="G71" s="8"/>
      <c r="H71" s="8"/>
      <c r="I71" s="8"/>
      <c r="J71" s="8"/>
    </row>
    <row r="72" spans="1:10" x14ac:dyDescent="0.2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0" x14ac:dyDescent="0.2">
      <c r="A73" s="10"/>
      <c r="B73" s="80" t="s">
        <v>1</v>
      </c>
      <c r="C73" s="81"/>
      <c r="D73" s="81"/>
      <c r="E73" s="82"/>
      <c r="F73" s="83" t="s">
        <v>2</v>
      </c>
      <c r="G73" s="81"/>
      <c r="H73" s="81"/>
      <c r="I73" s="84"/>
      <c r="J73" s="8"/>
    </row>
    <row r="74" spans="1:10" x14ac:dyDescent="0.2">
      <c r="A74" s="11"/>
      <c r="B74" s="71" t="s">
        <v>9</v>
      </c>
      <c r="C74" s="72"/>
      <c r="D74" s="2" t="s">
        <v>3</v>
      </c>
      <c r="E74" s="3" t="s">
        <v>20</v>
      </c>
      <c r="F74" s="73" t="s">
        <v>9</v>
      </c>
      <c r="G74" s="72"/>
      <c r="H74" s="2" t="s">
        <v>3</v>
      </c>
      <c r="I74" s="2" t="s">
        <v>10</v>
      </c>
      <c r="J74" s="8"/>
    </row>
    <row r="75" spans="1:10" ht="24" customHeight="1" x14ac:dyDescent="0.2">
      <c r="A75" s="10" t="s">
        <v>0</v>
      </c>
      <c r="B75" s="2" t="s">
        <v>11</v>
      </c>
      <c r="C75" s="2" t="s">
        <v>4</v>
      </c>
      <c r="D75" s="2" t="s">
        <v>11</v>
      </c>
      <c r="E75" s="3" t="s">
        <v>4</v>
      </c>
      <c r="F75" s="1" t="s">
        <v>4</v>
      </c>
      <c r="G75" s="2" t="s">
        <v>5</v>
      </c>
      <c r="H75" s="2" t="s">
        <v>4</v>
      </c>
      <c r="I75" s="2"/>
      <c r="J75" s="8"/>
    </row>
    <row r="76" spans="1:10" ht="24" customHeight="1" x14ac:dyDescent="0.2">
      <c r="A76" s="4" t="s">
        <v>7</v>
      </c>
      <c r="B76" s="2"/>
      <c r="C76" s="2"/>
      <c r="D76" s="2"/>
      <c r="E76" s="3"/>
      <c r="F76" s="1"/>
      <c r="G76" s="2"/>
      <c r="H76" s="2"/>
      <c r="I76" s="2"/>
      <c r="J76" s="8"/>
    </row>
    <row r="77" spans="1:10" ht="24" customHeight="1" x14ac:dyDescent="0.2">
      <c r="A77" s="4" t="s">
        <v>64</v>
      </c>
      <c r="B77" s="2"/>
      <c r="C77" s="2"/>
      <c r="D77" s="2"/>
      <c r="E77" s="3"/>
      <c r="F77" s="1"/>
      <c r="G77" s="2"/>
      <c r="H77" s="2"/>
      <c r="I77" s="2"/>
      <c r="J77" s="8"/>
    </row>
    <row r="78" spans="1:10" ht="24" customHeight="1" x14ac:dyDescent="0.2">
      <c r="A78" s="4" t="s">
        <v>49</v>
      </c>
      <c r="B78" s="74">
        <f>B10</f>
        <v>0</v>
      </c>
      <c r="C78" s="75"/>
      <c r="D78" s="75"/>
      <c r="E78" s="75"/>
      <c r="F78" s="75"/>
      <c r="G78" s="75"/>
      <c r="H78" s="75"/>
      <c r="I78" s="76"/>
      <c r="J78" s="8"/>
    </row>
    <row r="79" spans="1:10" x14ac:dyDescent="0.2">
      <c r="A79" s="8"/>
      <c r="B79" s="8"/>
      <c r="C79" s="8"/>
      <c r="D79" s="8"/>
      <c r="E79" s="8"/>
      <c r="F79" s="8"/>
      <c r="G79" s="8"/>
      <c r="H79" s="8"/>
      <c r="I79" s="8"/>
      <c r="J79" s="8"/>
    </row>
    <row r="80" spans="1:10" x14ac:dyDescent="0.2">
      <c r="A80" s="8" t="s">
        <v>68</v>
      </c>
      <c r="B80" s="8"/>
      <c r="C80" s="8"/>
      <c r="D80" s="8"/>
      <c r="E80" s="8"/>
      <c r="F80" s="8"/>
      <c r="G80" s="8"/>
      <c r="H80" s="8"/>
      <c r="I80" s="8"/>
      <c r="J80" s="8"/>
    </row>
    <row r="81" spans="1:10" ht="24" customHeight="1" x14ac:dyDescent="0.2">
      <c r="A81" s="4" t="s">
        <v>65</v>
      </c>
      <c r="B81" s="2"/>
      <c r="C81" s="2"/>
      <c r="D81" s="2"/>
      <c r="E81" s="3"/>
      <c r="F81" s="1"/>
      <c r="G81" s="2"/>
      <c r="H81" s="2"/>
      <c r="I81" s="2"/>
      <c r="J81" s="8"/>
    </row>
    <row r="82" spans="1:10" ht="24" customHeight="1" x14ac:dyDescent="0.2">
      <c r="A82" s="4" t="s">
        <v>66</v>
      </c>
      <c r="B82" s="2"/>
      <c r="C82" s="2"/>
      <c r="D82" s="2"/>
      <c r="E82" s="3"/>
      <c r="F82" s="1"/>
      <c r="G82" s="2"/>
      <c r="H82" s="2"/>
      <c r="I82" s="2"/>
      <c r="J82" s="8"/>
    </row>
    <row r="83" spans="1:10" ht="24" customHeight="1" x14ac:dyDescent="0.2">
      <c r="A83" s="4" t="s">
        <v>67</v>
      </c>
      <c r="B83" s="2"/>
      <c r="C83" s="2"/>
      <c r="D83" s="2"/>
      <c r="E83" s="3"/>
      <c r="F83" s="1"/>
      <c r="G83" s="2"/>
      <c r="H83" s="2"/>
      <c r="I83" s="2"/>
      <c r="J83" s="8"/>
    </row>
    <row r="84" spans="1:10" x14ac:dyDescent="0.2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spans="1:10" x14ac:dyDescent="0.2">
      <c r="A85" s="61" t="s">
        <v>69</v>
      </c>
      <c r="B85" s="62"/>
      <c r="C85" s="62"/>
      <c r="D85" s="62"/>
      <c r="E85" s="62"/>
      <c r="F85" s="62"/>
      <c r="G85" s="62"/>
      <c r="H85" s="62"/>
      <c r="I85" s="62"/>
      <c r="J85" s="66"/>
    </row>
    <row r="86" spans="1:10" x14ac:dyDescent="0.2">
      <c r="A86" s="63"/>
      <c r="B86" s="67"/>
      <c r="C86" s="67"/>
      <c r="D86" s="67"/>
      <c r="E86" s="67"/>
      <c r="F86" s="67"/>
      <c r="G86" s="67"/>
      <c r="H86" s="67"/>
      <c r="I86" s="67"/>
      <c r="J86" s="68"/>
    </row>
    <row r="87" spans="1:10" x14ac:dyDescent="0.2">
      <c r="A87" s="63"/>
      <c r="B87" s="67"/>
      <c r="C87" s="67"/>
      <c r="D87" s="67"/>
      <c r="E87" s="67"/>
      <c r="F87" s="67"/>
      <c r="G87" s="67"/>
      <c r="H87" s="67"/>
      <c r="I87" s="67"/>
      <c r="J87" s="68"/>
    </row>
    <row r="88" spans="1:10" x14ac:dyDescent="0.2">
      <c r="A88" s="63"/>
      <c r="B88" s="67"/>
      <c r="C88" s="67"/>
      <c r="D88" s="67"/>
      <c r="E88" s="67"/>
      <c r="F88" s="67"/>
      <c r="G88" s="67"/>
      <c r="H88" s="67"/>
      <c r="I88" s="67"/>
      <c r="J88" s="68"/>
    </row>
    <row r="89" spans="1:10" x14ac:dyDescent="0.2">
      <c r="A89" s="63"/>
      <c r="B89" s="67"/>
      <c r="C89" s="67"/>
      <c r="D89" s="67"/>
      <c r="E89" s="67"/>
      <c r="F89" s="67"/>
      <c r="G89" s="67"/>
      <c r="H89" s="67"/>
      <c r="I89" s="67"/>
      <c r="J89" s="68"/>
    </row>
    <row r="90" spans="1:10" x14ac:dyDescent="0.2">
      <c r="A90" s="64"/>
      <c r="B90" s="65"/>
      <c r="C90" s="65"/>
      <c r="D90" s="65"/>
      <c r="E90" s="65"/>
      <c r="F90" s="65"/>
      <c r="G90" s="65"/>
      <c r="H90" s="65"/>
      <c r="I90" s="65"/>
      <c r="J90" s="69"/>
    </row>
    <row r="91" spans="1:10" ht="10" customHeight="1" x14ac:dyDescent="0.2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0" x14ac:dyDescent="0.2">
      <c r="A92" s="61" t="s">
        <v>70</v>
      </c>
      <c r="B92" s="62"/>
      <c r="C92" s="62"/>
      <c r="D92" s="62"/>
      <c r="E92" s="62"/>
      <c r="F92" s="62"/>
      <c r="G92" s="62"/>
      <c r="H92" s="62"/>
      <c r="I92" s="62"/>
      <c r="J92" s="66"/>
    </row>
    <row r="93" spans="1:10" x14ac:dyDescent="0.2">
      <c r="A93" s="63"/>
      <c r="B93" s="67"/>
      <c r="C93" s="67"/>
      <c r="D93" s="67"/>
      <c r="E93" s="67"/>
      <c r="F93" s="67"/>
      <c r="G93" s="67"/>
      <c r="H93" s="67"/>
      <c r="I93" s="67"/>
      <c r="J93" s="68"/>
    </row>
    <row r="94" spans="1:10" x14ac:dyDescent="0.2">
      <c r="A94" s="63"/>
      <c r="B94" s="67"/>
      <c r="C94" s="67"/>
      <c r="D94" s="67"/>
      <c r="E94" s="67"/>
      <c r="F94" s="67"/>
      <c r="G94" s="67"/>
      <c r="H94" s="67"/>
      <c r="I94" s="67"/>
      <c r="J94" s="68"/>
    </row>
    <row r="95" spans="1:10" x14ac:dyDescent="0.2">
      <c r="A95" s="63"/>
      <c r="B95" s="67"/>
      <c r="C95" s="67"/>
      <c r="D95" s="67"/>
      <c r="E95" s="67"/>
      <c r="F95" s="67"/>
      <c r="G95" s="67"/>
      <c r="H95" s="67"/>
      <c r="I95" s="67"/>
      <c r="J95" s="68"/>
    </row>
    <row r="96" spans="1:10" x14ac:dyDescent="0.2">
      <c r="A96" s="63"/>
      <c r="B96" s="67"/>
      <c r="C96" s="67"/>
      <c r="D96" s="67"/>
      <c r="E96" s="67"/>
      <c r="F96" s="67"/>
      <c r="G96" s="67"/>
      <c r="H96" s="67"/>
      <c r="I96" s="67"/>
      <c r="J96" s="68"/>
    </row>
    <row r="97" spans="1:10" x14ac:dyDescent="0.2">
      <c r="A97" s="64"/>
      <c r="B97" s="65"/>
      <c r="C97" s="65"/>
      <c r="D97" s="65"/>
      <c r="E97" s="65"/>
      <c r="F97" s="65"/>
      <c r="G97" s="65"/>
      <c r="H97" s="65"/>
      <c r="I97" s="65"/>
      <c r="J97" s="69"/>
    </row>
    <row r="98" spans="1:10" x14ac:dyDescent="0.2">
      <c r="A98" s="8"/>
      <c r="B98" s="8"/>
      <c r="C98" s="8"/>
      <c r="D98" s="8"/>
      <c r="E98" s="8"/>
      <c r="F98" s="8"/>
      <c r="G98" s="8"/>
      <c r="H98" s="8"/>
      <c r="I98" s="8"/>
      <c r="J98" s="8"/>
    </row>
  </sheetData>
  <mergeCells count="51">
    <mergeCell ref="G21:I21"/>
    <mergeCell ref="G22:I22"/>
    <mergeCell ref="G23:I23"/>
    <mergeCell ref="I1:J1"/>
    <mergeCell ref="I2:J2"/>
    <mergeCell ref="I3:J3"/>
    <mergeCell ref="I4:J4"/>
    <mergeCell ref="A1:B4"/>
    <mergeCell ref="C1:H4"/>
    <mergeCell ref="B17:I17"/>
    <mergeCell ref="B13:C13"/>
    <mergeCell ref="F13:G13"/>
    <mergeCell ref="A19:J19"/>
    <mergeCell ref="G20:I20"/>
    <mergeCell ref="A6:J6"/>
    <mergeCell ref="B8:J8"/>
    <mergeCell ref="B10:C10"/>
    <mergeCell ref="I10:J10"/>
    <mergeCell ref="B12:E12"/>
    <mergeCell ref="F12:I12"/>
    <mergeCell ref="A33:B33"/>
    <mergeCell ref="A30:B30"/>
    <mergeCell ref="A31:B31"/>
    <mergeCell ref="A32:B32"/>
    <mergeCell ref="G24:I24"/>
    <mergeCell ref="G30:H30"/>
    <mergeCell ref="G31:H31"/>
    <mergeCell ref="B63:E63"/>
    <mergeCell ref="F63:I63"/>
    <mergeCell ref="B47:D47"/>
    <mergeCell ref="B48:D48"/>
    <mergeCell ref="B49:D49"/>
    <mergeCell ref="A59:J59"/>
    <mergeCell ref="B41:D41"/>
    <mergeCell ref="B42:D42"/>
    <mergeCell ref="B43:D43"/>
    <mergeCell ref="B44:D44"/>
    <mergeCell ref="A35:B35"/>
    <mergeCell ref="A36:B36"/>
    <mergeCell ref="A37:B37"/>
    <mergeCell ref="A38:B38"/>
    <mergeCell ref="C61:F61"/>
    <mergeCell ref="A69:J69"/>
    <mergeCell ref="B73:E73"/>
    <mergeCell ref="F73:I73"/>
    <mergeCell ref="C71:F71"/>
    <mergeCell ref="B74:C74"/>
    <mergeCell ref="F74:G74"/>
    <mergeCell ref="B78:I78"/>
    <mergeCell ref="B64:C64"/>
    <mergeCell ref="F64:G64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Fiche de 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Pradignac</dc:creator>
  <cp:lastModifiedBy>Nicolas Pradignac</cp:lastModifiedBy>
  <dcterms:created xsi:type="dcterms:W3CDTF">2026-02-09T15:39:00Z</dcterms:created>
  <dcterms:modified xsi:type="dcterms:W3CDTF">2026-02-24T13:41:09Z</dcterms:modified>
</cp:coreProperties>
</file>